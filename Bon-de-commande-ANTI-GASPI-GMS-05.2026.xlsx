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rthur/Desktop/BDCC/"/>
    </mc:Choice>
  </mc:AlternateContent>
  <xr:revisionPtr revIDLastSave="0" documentId="13_ncr:1_{AFA898C8-BDAE-CC42-9830-93C03AC43362}" xr6:coauthVersionLast="47" xr6:coauthVersionMax="47" xr10:uidLastSave="{00000000-0000-0000-0000-000000000000}"/>
  <bookViews>
    <workbookView xWindow="38400" yWindow="5840" windowWidth="29040" windowHeight="15720" xr2:uid="{00000000-000D-0000-FFFF-FFFF00000000}"/>
  </bookViews>
  <sheets>
    <sheet name="Bon de commande" sheetId="1" r:id="rId1"/>
  </sheets>
  <definedNames>
    <definedName name="_xlnm.Print_Titles" localSheetId="0">'Bon de commande'!$5:$5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1" l="1"/>
  <c r="O49" i="1"/>
  <c r="I49" i="1"/>
  <c r="J49" i="1" s="1"/>
  <c r="G49" i="1"/>
  <c r="O47" i="1"/>
  <c r="J47" i="1"/>
  <c r="I47" i="1"/>
  <c r="G47" i="1"/>
  <c r="I46" i="1"/>
  <c r="J46" i="1" s="1"/>
  <c r="G46" i="1"/>
  <c r="I45" i="1"/>
  <c r="O45" i="1" s="1"/>
  <c r="G45" i="1"/>
  <c r="I44" i="1"/>
  <c r="O44" i="1" s="1"/>
  <c r="G44" i="1"/>
  <c r="O43" i="1"/>
  <c r="J43" i="1"/>
  <c r="I43" i="1"/>
  <c r="G43" i="1"/>
  <c r="O42" i="1"/>
  <c r="I42" i="1"/>
  <c r="J42" i="1" s="1"/>
  <c r="G42" i="1"/>
  <c r="I41" i="1"/>
  <c r="O41" i="1" s="1"/>
  <c r="G41" i="1"/>
  <c r="I40" i="1"/>
  <c r="O40" i="1" s="1"/>
  <c r="G40" i="1"/>
  <c r="I39" i="1"/>
  <c r="O39" i="1" s="1"/>
  <c r="G39" i="1"/>
  <c r="O38" i="1"/>
  <c r="J38" i="1"/>
  <c r="I38" i="1"/>
  <c r="G38" i="1"/>
  <c r="O37" i="1"/>
  <c r="I37" i="1"/>
  <c r="J37" i="1" s="1"/>
  <c r="G37" i="1"/>
  <c r="I36" i="1"/>
  <c r="O36" i="1" s="1"/>
  <c r="G36" i="1"/>
  <c r="I35" i="1"/>
  <c r="O35" i="1" s="1"/>
  <c r="G35" i="1"/>
  <c r="I34" i="1"/>
  <c r="O34" i="1" s="1"/>
  <c r="G34" i="1"/>
  <c r="O33" i="1"/>
  <c r="J33" i="1"/>
  <c r="I33" i="1"/>
  <c r="G33" i="1"/>
  <c r="O31" i="1"/>
  <c r="I31" i="1"/>
  <c r="J31" i="1" s="1"/>
  <c r="G31" i="1"/>
  <c r="I30" i="1"/>
  <c r="O30" i="1" s="1"/>
  <c r="G30" i="1"/>
  <c r="I29" i="1"/>
  <c r="O29" i="1" s="1"/>
  <c r="G29" i="1"/>
  <c r="I28" i="1"/>
  <c r="O28" i="1" s="1"/>
  <c r="G28" i="1"/>
  <c r="O27" i="1"/>
  <c r="J27" i="1"/>
  <c r="I27" i="1"/>
  <c r="G27" i="1"/>
  <c r="O26" i="1"/>
  <c r="I26" i="1"/>
  <c r="J26" i="1" s="1"/>
  <c r="G26" i="1"/>
  <c r="I25" i="1"/>
  <c r="O25" i="1" s="1"/>
  <c r="G25" i="1"/>
  <c r="I24" i="1"/>
  <c r="O24" i="1" s="1"/>
  <c r="G24" i="1"/>
  <c r="I23" i="1"/>
  <c r="O23" i="1" s="1"/>
  <c r="G23" i="1"/>
  <c r="O22" i="1"/>
  <c r="J22" i="1"/>
  <c r="I22" i="1"/>
  <c r="G22" i="1"/>
  <c r="O21" i="1"/>
  <c r="I21" i="1"/>
  <c r="J21" i="1" s="1"/>
  <c r="G21" i="1"/>
  <c r="I20" i="1"/>
  <c r="O20" i="1" s="1"/>
  <c r="G20" i="1"/>
  <c r="I19" i="1"/>
  <c r="O19" i="1" s="1"/>
  <c r="G19" i="1"/>
  <c r="I18" i="1"/>
  <c r="O18" i="1" s="1"/>
  <c r="G18" i="1"/>
  <c r="O17" i="1"/>
  <c r="J17" i="1"/>
  <c r="I17" i="1"/>
  <c r="G17" i="1"/>
  <c r="O15" i="1"/>
  <c r="I15" i="1"/>
  <c r="J15" i="1" s="1"/>
  <c r="G15" i="1"/>
  <c r="O13" i="1"/>
  <c r="J13" i="1"/>
  <c r="G13" i="1"/>
  <c r="O12" i="1"/>
  <c r="J12" i="1"/>
  <c r="G12" i="1"/>
  <c r="O11" i="1"/>
  <c r="J11" i="1"/>
  <c r="G11" i="1"/>
  <c r="O10" i="1"/>
  <c r="J10" i="1"/>
  <c r="G10" i="1"/>
  <c r="O9" i="1"/>
  <c r="J9" i="1"/>
  <c r="G9" i="1"/>
  <c r="O8" i="1"/>
  <c r="J8" i="1"/>
  <c r="G8" i="1"/>
  <c r="O7" i="1"/>
  <c r="J7" i="1"/>
  <c r="G7" i="1"/>
  <c r="J44" i="1" l="1"/>
  <c r="J20" i="1"/>
  <c r="J25" i="1"/>
  <c r="O46" i="1"/>
  <c r="O50" i="1" s="1"/>
  <c r="J18" i="1"/>
  <c r="J23" i="1"/>
  <c r="J28" i="1"/>
  <c r="J34" i="1"/>
  <c r="J39" i="1"/>
  <c r="J30" i="1"/>
  <c r="J36" i="1"/>
  <c r="J41" i="1"/>
  <c r="J19" i="1"/>
  <c r="J24" i="1"/>
  <c r="J29" i="1"/>
  <c r="J35" i="1"/>
  <c r="J40" i="1"/>
  <c r="J45" i="1"/>
</calcChain>
</file>

<file path=xl/sharedStrings.xml><?xml version="1.0" encoding="utf-8"?>
<sst xmlns="http://schemas.openxmlformats.org/spreadsheetml/2006/main" count="233" uniqueCount="170">
  <si>
    <t>Bon de Commande ANTI GASPI — Mai 2026</t>
  </si>
  <si>
    <t xml:space="preserve"> Saisissez vos quantités en colis dans la colonne « Colis Commandés » — stock plafonné automatiquement</t>
  </si>
  <si>
    <t>Référence</t>
  </si>
  <si>
    <t>Désignation</t>
  </si>
  <si>
    <t>Cond.</t>
  </si>
  <si>
    <t>Unité</t>
  </si>
  <si>
    <t>EAN UC</t>
  </si>
  <si>
    <t>Prix Remisé GMS Colis</t>
  </si>
  <si>
    <t>Prix Remisé GMS UC</t>
  </si>
  <si>
    <t>Remise</t>
  </si>
  <si>
    <t>Prix Anti Gaspi      Colis</t>
  </si>
  <si>
    <t>Prix Anti Gaspi UC</t>
  </si>
  <si>
    <t>Colis / Pal.</t>
  </si>
  <si>
    <t>Stock Dispo. (colis)</t>
  </si>
  <si>
    <t>Colis Commandés</t>
  </si>
  <si>
    <t>Total HT</t>
  </si>
  <si>
    <t>PROMO PRIX CASSÉ</t>
  </si>
  <si>
    <t>Red Bull Pomme Fuji &amp; Gingembre
DLC 08/26 minimum</t>
  </si>
  <si>
    <t>25cl</t>
  </si>
  <si>
    <t>9002490278281</t>
  </si>
  <si>
    <t>42 palettes</t>
  </si>
  <si>
    <t>RB25WIN</t>
  </si>
  <si>
    <t>Red Bull KYOHO raisin Import Japon          DLC 31/05/26</t>
  </si>
  <si>
    <t>4 palettes</t>
  </si>
  <si>
    <t>RB25KYOHO</t>
  </si>
  <si>
    <t>Red Bull MUSCAT Import Japon DLC 31/07/26</t>
  </si>
  <si>
    <t>8 palettes</t>
  </si>
  <si>
    <t>RB25MUSCAT</t>
  </si>
  <si>
    <t>Pop's PECHE PET 1L                                          DLC 07/26 minimum</t>
  </si>
  <si>
    <t>1L</t>
  </si>
  <si>
    <t>3701650200259</t>
  </si>
  <si>
    <t>6 palettes</t>
  </si>
  <si>
    <t>POPSPECHE1L</t>
  </si>
  <si>
    <t>Pop's FRUIT DU DRAGON PET 1L               DLC 07/26 minimum</t>
  </si>
  <si>
    <t>3701650200280</t>
  </si>
  <si>
    <t>7 palettes</t>
  </si>
  <si>
    <t>POPSFRUITDRAG1L</t>
  </si>
  <si>
    <t>Pop's GRENADE PET 1L                                   DLC 07/26 minimum</t>
  </si>
  <si>
    <t>3701650200242</t>
  </si>
  <si>
    <t>POPSGRENADE1L</t>
  </si>
  <si>
    <t xml:space="preserve">NELLA DELICE — pâte à tartiner crème noisette
DLC 06/26 </t>
  </si>
  <si>
    <t>700g</t>
  </si>
  <si>
    <t>3760317581179</t>
  </si>
  <si>
    <t>NELLA</t>
  </si>
  <si>
    <t>REMISE −60 %</t>
  </si>
  <si>
    <t>Fanta Apple — Import Egypte
DLC 07/26</t>
  </si>
  <si>
    <t>30cl</t>
  </si>
  <si>
    <t>5449000340825</t>
  </si>
  <si>
    <t>YFAPPL3324</t>
  </si>
  <si>
    <t>REMISE −50 %</t>
  </si>
  <si>
    <t>Buldak Ramen Poulet Braisé (lot 50 %)
DLC 06/26</t>
  </si>
  <si>
    <t>145g</t>
  </si>
  <si>
    <t>8801073141858</t>
  </si>
  <si>
    <t>3 palettes</t>
  </si>
  <si>
    <t>RAMENPOUBRAI</t>
  </si>
  <si>
    <t>Buldak Ramen Poulet Extra Piquant
DLC 06/26</t>
  </si>
  <si>
    <t>140g</t>
  </si>
  <si>
    <t>8801073141896</t>
  </si>
  <si>
    <t>5 palettes</t>
  </si>
  <si>
    <t>RAMENPOUEXTRA</t>
  </si>
  <si>
    <t xml:space="preserve">Vittel Eau Fruitée Fraise Framboise
DLC 07/26 </t>
  </si>
  <si>
    <t>50cl</t>
  </si>
  <si>
    <t>8445291599635</t>
  </si>
  <si>
    <t>VITTELFRAISE</t>
  </si>
  <si>
    <t>Vittel Eau Fruitée Pêche Abricot
DLC 07/26</t>
  </si>
  <si>
    <t>8445291617414</t>
  </si>
  <si>
    <t>VITTELPECH</t>
  </si>
  <si>
    <t>Lipton Kombucha Fraise &amp; Menthe    Import UK
DLC 06/26</t>
  </si>
  <si>
    <t>4062139019076</t>
  </si>
  <si>
    <t>YKOMBUFRAI</t>
  </si>
  <si>
    <t xml:space="preserve">Dr. Pepper Vanilla Float                       Import USA
DLC 06/26 </t>
  </si>
  <si>
    <t>35,5cl</t>
  </si>
  <si>
    <t>0078000023435</t>
  </si>
  <si>
    <t>YDRPEP33VANIL</t>
  </si>
  <si>
    <t xml:space="preserve">Dr. Pepper Strawberries &amp; Cream      Import USA
DLC 06/26 </t>
  </si>
  <si>
    <t>0078000037692</t>
  </si>
  <si>
    <t>1 palette</t>
  </si>
  <si>
    <t>YDRPEP33STRAW</t>
  </si>
  <si>
    <t>Pepsi Strawberry &amp; Cream Zéro        Import UK
DLC 06/26</t>
  </si>
  <si>
    <t>33cl</t>
  </si>
  <si>
    <t>4062139018321</t>
  </si>
  <si>
    <t>2 palettes</t>
  </si>
  <si>
    <t>YPSC3324</t>
  </si>
  <si>
    <t xml:space="preserve">Pepsi Cream Soda Zéro                     Import UK
DLC 06/26 </t>
  </si>
  <si>
    <t>4062139018352</t>
  </si>
  <si>
    <t>YPCS3324</t>
  </si>
  <si>
    <t xml:space="preserve">Fanta Citron canette
DLC 06/26 </t>
  </si>
  <si>
    <t>5449000214829</t>
  </si>
  <si>
    <t>YFC3324</t>
  </si>
  <si>
    <t>Pepsi Regular canette
DLC 06/26</t>
  </si>
  <si>
    <t>3168930159711</t>
  </si>
  <si>
    <t>YPR3324</t>
  </si>
  <si>
    <t>CRISTALINE Tropical (4 packs 6 x 50cl) DLC 06/26</t>
  </si>
  <si>
    <t>3254382048892</t>
  </si>
  <si>
    <t>CRISTTROP50</t>
  </si>
  <si>
    <t>San Pellegrino Aranciata Rossa(4 packs 6x33cl) canette                                    DLC 06/26</t>
  </si>
  <si>
    <t>33 cl</t>
  </si>
  <si>
    <t>8002270506796</t>
  </si>
  <si>
    <t>YSPARAN33</t>
  </si>
  <si>
    <t xml:space="preserve">Pago Ananas verre
DLC 06/26 </t>
  </si>
  <si>
    <t>20cl</t>
  </si>
  <si>
    <t>(à éditer)</t>
  </si>
  <si>
    <t>PAGANANAS20</t>
  </si>
  <si>
    <t xml:space="preserve">Tropico Tropical PET 
DLC 06/26 </t>
  </si>
  <si>
    <t>1,25l</t>
  </si>
  <si>
    <t>5449000321169</t>
  </si>
  <si>
    <t>0 colis</t>
  </si>
  <si>
    <t>TROPTROP1256</t>
  </si>
  <si>
    <t>REMISE −40 %</t>
  </si>
  <si>
    <t>Heineken pack
DLC 06/26</t>
  </si>
  <si>
    <t>3119780268276</t>
  </si>
  <si>
    <t>12 palettes</t>
  </si>
  <si>
    <t>20H25</t>
  </si>
  <si>
    <t xml:space="preserve">Desperados pack VERRE (DLC 06/26)
DLC 06/26 </t>
  </si>
  <si>
    <t xml:space="preserve">33cl </t>
  </si>
  <si>
    <t>3119780268382</t>
  </si>
  <si>
    <t>DES12</t>
  </si>
  <si>
    <t xml:space="preserve">Leffe Blonde RITUEL 9° VERRE
DLC 06/26 </t>
  </si>
  <si>
    <t>6 x 25cl</t>
  </si>
  <si>
    <t>5410228191551</t>
  </si>
  <si>
    <t>LEFFERITUEL</t>
  </si>
  <si>
    <t xml:space="preserve">Minute Maid POMME can
DLC 06/26 </t>
  </si>
  <si>
    <t>5449000257796</t>
  </si>
  <si>
    <t>—</t>
  </si>
  <si>
    <t>52 colis</t>
  </si>
  <si>
    <t>YMMP</t>
  </si>
  <si>
    <t xml:space="preserve">Minute Maid ORANGE can
DLC 06/26 </t>
  </si>
  <si>
    <t>5449000257789</t>
  </si>
  <si>
    <t>13 colis</t>
  </si>
  <si>
    <t>YMMO</t>
  </si>
  <si>
    <t>Minute Maid MULTIFRUITS can
DLC 06/26</t>
  </si>
  <si>
    <t>5449000295989</t>
  </si>
  <si>
    <t>7 colis</t>
  </si>
  <si>
    <t>YMMM</t>
  </si>
  <si>
    <t xml:space="preserve">PANDA TEA Citron
DLC 06/26 </t>
  </si>
  <si>
    <t>3760293234014</t>
  </si>
  <si>
    <t>18 colis</t>
  </si>
  <si>
    <t>YPANDACITRON</t>
  </si>
  <si>
    <t xml:space="preserve">PANDA TEA Pêche
DLC 06/26 </t>
  </si>
  <si>
    <t>3760293233970</t>
  </si>
  <si>
    <t>10 colis</t>
  </si>
  <si>
    <t>YPANDAPECH</t>
  </si>
  <si>
    <t xml:space="preserve">Topokki ÉPICÉ
DLC 06/26 </t>
  </si>
  <si>
    <t>8809054401526</t>
  </si>
  <si>
    <t>11 colis</t>
  </si>
  <si>
    <t>TOPOEPICE</t>
  </si>
  <si>
    <t xml:space="preserve">DORITOS PAPRIKA
DLC 06/26 </t>
  </si>
  <si>
    <t>160g</t>
  </si>
  <si>
    <t>3168930173250</t>
  </si>
  <si>
    <t>32 colis</t>
  </si>
  <si>
    <t>DORPAP</t>
  </si>
  <si>
    <t xml:space="preserve">Lay's Vinaigre de Cidre Sel paysanne
DLC 06/26 </t>
  </si>
  <si>
    <t>120g</t>
  </si>
  <si>
    <t>3168930176329</t>
  </si>
  <si>
    <t>16 colis</t>
  </si>
  <si>
    <t>LAYSVINAI120</t>
  </si>
  <si>
    <t>Lay's Fromage Jura paysanne
DLC 06/26</t>
  </si>
  <si>
    <t>3168930167891</t>
  </si>
  <si>
    <t>LAYSFROJURA120</t>
  </si>
  <si>
    <t>Bière CORNET Blonde 7,9°
DLC 06/26</t>
  </si>
  <si>
    <t>5410783010595</t>
  </si>
  <si>
    <t>36 colis</t>
  </si>
  <si>
    <t>CORNETB50</t>
  </si>
  <si>
    <t xml:space="preserve">ELEPHANT Bretzel Twist Oignons Caramélisés
DLC 06/26 </t>
  </si>
  <si>
    <t>5949040203505</t>
  </si>
  <si>
    <t>ELEPHANTOIGNON</t>
  </si>
  <si>
    <t>REMISE −25 %</t>
  </si>
  <si>
    <t xml:space="preserve">Desperados pack VERRE (DLC 08/26)
DLC 08/26 </t>
  </si>
  <si>
    <t>20 palettes</t>
  </si>
  <si>
    <t>Karl &amp; Léon · 17 rue des Garennes 57155 Marly · 03 87 600 900 · contact@karletleon.com
Franco 1 500 € HT Grand Est · 2 000 € HT reste de la  France métropolitaine. Stock affiché plafonné automatiquement.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</si>
</sst>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#,##0.00\ \€"/>
    <numFmt numFmtId="166" formatCode="\-0%"/>
    <numFmt numFmtId="167" formatCode="0&quot; colis&quot;"/>
  </numFmts>
  <fonts count="29" x14ac:knownFonts="1">
    <font>
      <sz val="11"/>
      <color theme="1"/>
      <name val="Calibri"/>
      <family val="2"/>
      <scheme val="minor"/>
    </font>
    <font>
      <i/>
      <sz val="8"/>
      <color rgb="FF000000"/>
      <name val="Arial"/>
      <family val="2"/>
    </font>
    <font>
      <b/>
      <sz val="8"/>
      <color rgb="FF000000"/>
      <name val="Calibri"/>
      <family val="2"/>
    </font>
    <font>
      <b/>
      <sz val="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Calibri"/>
      <family val="2"/>
    </font>
    <font>
      <b/>
      <sz val="9"/>
      <color rgb="FF000000"/>
      <name val="Arial"/>
      <family val="2"/>
    </font>
    <font>
      <b/>
      <sz val="7"/>
      <color rgb="FF000000"/>
      <name val="Arial"/>
      <family val="2"/>
    </font>
    <font>
      <sz val="7"/>
      <color theme="1"/>
      <name val="Calibri"/>
      <family val="2"/>
      <scheme val="minor"/>
    </font>
    <font>
      <sz val="7"/>
      <color rgb="FF000000"/>
      <name val="Calibri"/>
      <family val="2"/>
    </font>
    <font>
      <sz val="7"/>
      <name val="Arial"/>
      <family val="2"/>
    </font>
    <font>
      <strike/>
      <sz val="7"/>
      <color rgb="FF000000"/>
      <name val="Arial"/>
      <family val="2"/>
    </font>
    <font>
      <sz val="7"/>
      <color theme="1"/>
      <name val="Arial"/>
      <family val="2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sz val="6"/>
      <color theme="1"/>
      <name val="Arial"/>
      <family val="2"/>
    </font>
    <font>
      <strike/>
      <sz val="7"/>
      <color rgb="FF000000"/>
      <name val="Calibri"/>
      <family val="2"/>
    </font>
    <font>
      <strike/>
      <sz val="11"/>
      <color theme="1"/>
      <name val="Calibri"/>
      <family val="2"/>
      <scheme val="minor"/>
    </font>
    <font>
      <i/>
      <sz val="9"/>
      <color rgb="FF000000"/>
      <name val="Arial"/>
      <family val="2"/>
    </font>
    <font>
      <b/>
      <sz val="9"/>
      <color theme="1"/>
      <name val="Calibri"/>
      <family val="2"/>
      <scheme val="minor"/>
    </font>
    <font>
      <b/>
      <strike/>
      <sz val="9"/>
      <color rgb="FF000000"/>
      <name val="Calibri"/>
      <family val="2"/>
    </font>
    <font>
      <b/>
      <sz val="15"/>
      <color rgb="FF000000"/>
      <name val="Arial"/>
      <family val="2"/>
    </font>
    <font>
      <sz val="10"/>
      <name val="Arial"/>
      <family val="2"/>
    </font>
    <font>
      <b/>
      <sz val="20"/>
      <color rgb="FF000000"/>
      <name val="Arial"/>
      <family val="2"/>
    </font>
    <font>
      <b/>
      <sz val="12"/>
      <color rgb="FF000000"/>
      <name val="Arial"/>
      <family val="2"/>
    </font>
    <font>
      <b/>
      <sz val="1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EAF1DD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19"/>
  </cellStyleXfs>
  <cellXfs count="125">
    <xf numFmtId="0" fontId="0" fillId="0" borderId="0" xfId="0" applyBorder="1"/>
    <xf numFmtId="0" fontId="0" fillId="0" borderId="0" xfId="0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/>
    </xf>
    <xf numFmtId="0" fontId="11" fillId="0" borderId="0" xfId="0" applyFont="1" applyBorder="1"/>
    <xf numFmtId="0" fontId="0" fillId="0" borderId="0" xfId="0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5" fillId="0" borderId="0" xfId="0" applyFont="1" applyBorder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left" vertical="center" wrapText="1"/>
    </xf>
    <xf numFmtId="49" fontId="7" fillId="5" borderId="2" xfId="0" applyNumberFormat="1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164" fontId="18" fillId="5" borderId="2" xfId="0" applyNumberFormat="1" applyFont="1" applyFill="1" applyBorder="1" applyAlignment="1">
      <alignment horizontal="center" vertical="center"/>
    </xf>
    <xf numFmtId="164" fontId="15" fillId="6" borderId="2" xfId="0" applyNumberFormat="1" applyFont="1" applyFill="1" applyBorder="1" applyAlignment="1">
      <alignment horizontal="center" vertical="center" wrapText="1"/>
    </xf>
    <xf numFmtId="164" fontId="15" fillId="5" borderId="2" xfId="0" applyNumberFormat="1" applyFont="1" applyFill="1" applyBorder="1" applyAlignment="1">
      <alignment horizontal="center" vertical="center"/>
    </xf>
    <xf numFmtId="49" fontId="7" fillId="5" borderId="9" xfId="0" applyNumberFormat="1" applyFont="1" applyFill="1" applyBorder="1" applyAlignment="1">
      <alignment horizontal="left" vertical="center" wrapText="1"/>
    </xf>
    <xf numFmtId="0" fontId="13" fillId="5" borderId="9" xfId="0" applyFont="1" applyFill="1" applyBorder="1" applyAlignment="1">
      <alignment horizontal="center" vertical="center"/>
    </xf>
    <xf numFmtId="164" fontId="15" fillId="5" borderId="9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left" vertical="center" indent="1"/>
    </xf>
    <xf numFmtId="0" fontId="17" fillId="9" borderId="7" xfId="0" applyFont="1" applyFill="1" applyBorder="1" applyAlignment="1">
      <alignment horizontal="left"/>
    </xf>
    <xf numFmtId="0" fontId="16" fillId="9" borderId="16" xfId="0" applyFont="1" applyFill="1" applyBorder="1" applyAlignment="1">
      <alignment horizontal="left" vertical="center" indent="1"/>
    </xf>
    <xf numFmtId="0" fontId="15" fillId="9" borderId="17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left" vertical="top" wrapText="1"/>
    </xf>
    <xf numFmtId="0" fontId="17" fillId="9" borderId="17" xfId="0" applyFont="1" applyFill="1" applyBorder="1" applyAlignment="1">
      <alignment horizontal="left"/>
    </xf>
    <xf numFmtId="0" fontId="18" fillId="10" borderId="2" xfId="0" applyFon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/>
    </xf>
    <xf numFmtId="2" fontId="11" fillId="9" borderId="17" xfId="0" applyNumberFormat="1" applyFont="1" applyFill="1" applyBorder="1" applyAlignment="1">
      <alignment horizontal="center"/>
    </xf>
    <xf numFmtId="2" fontId="0" fillId="9" borderId="17" xfId="0" applyNumberFormat="1" applyFill="1" applyBorder="1" applyAlignment="1">
      <alignment horizontal="center"/>
    </xf>
    <xf numFmtId="2" fontId="11" fillId="0" borderId="0" xfId="0" applyNumberFormat="1" applyFont="1" applyBorder="1" applyAlignment="1">
      <alignment horizontal="center"/>
    </xf>
    <xf numFmtId="2" fontId="8" fillId="2" borderId="3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Border="1" applyAlignment="1">
      <alignment horizontal="center"/>
    </xf>
    <xf numFmtId="2" fontId="22" fillId="9" borderId="17" xfId="0" applyNumberFormat="1" applyFont="1" applyFill="1" applyBorder="1" applyAlignment="1">
      <alignment horizontal="center"/>
    </xf>
    <xf numFmtId="2" fontId="8" fillId="8" borderId="4" xfId="0" applyNumberFormat="1" applyFont="1" applyFill="1" applyBorder="1" applyAlignment="1">
      <alignment horizontal="center" vertical="center"/>
    </xf>
    <xf numFmtId="2" fontId="8" fillId="8" borderId="5" xfId="0" applyNumberFormat="1" applyFont="1" applyFill="1" applyBorder="1" applyAlignment="1">
      <alignment horizontal="center" vertical="center"/>
    </xf>
    <xf numFmtId="2" fontId="8" fillId="8" borderId="2" xfId="0" applyNumberFormat="1" applyFont="1" applyFill="1" applyBorder="1" applyAlignment="1">
      <alignment horizontal="center" vertical="center"/>
    </xf>
    <xf numFmtId="2" fontId="8" fillId="8" borderId="9" xfId="0" applyNumberFormat="1" applyFont="1" applyFill="1" applyBorder="1" applyAlignment="1">
      <alignment horizontal="center" vertical="center"/>
    </xf>
    <xf numFmtId="2" fontId="8" fillId="8" borderId="1" xfId="0" applyNumberFormat="1" applyFont="1" applyFill="1" applyBorder="1" applyAlignment="1">
      <alignment horizontal="center" vertical="center"/>
    </xf>
    <xf numFmtId="2" fontId="8" fillId="8" borderId="3" xfId="0" applyNumberFormat="1" applyFont="1" applyFill="1" applyBorder="1" applyAlignment="1">
      <alignment horizontal="center" vertical="center"/>
    </xf>
    <xf numFmtId="0" fontId="11" fillId="9" borderId="17" xfId="0" applyFont="1" applyFill="1" applyBorder="1" applyAlignment="1">
      <alignment horizontal="center"/>
    </xf>
    <xf numFmtId="2" fontId="19" fillId="7" borderId="2" xfId="0" applyNumberFormat="1" applyFont="1" applyFill="1" applyBorder="1" applyAlignment="1">
      <alignment horizontal="center" vertical="center"/>
    </xf>
    <xf numFmtId="2" fontId="19" fillId="7" borderId="9" xfId="0" applyNumberFormat="1" applyFont="1" applyFill="1" applyBorder="1" applyAlignment="1">
      <alignment horizontal="center" vertical="center"/>
    </xf>
    <xf numFmtId="2" fontId="19" fillId="7" borderId="4" xfId="0" applyNumberFormat="1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center"/>
    </xf>
    <xf numFmtId="2" fontId="12" fillId="7" borderId="12" xfId="0" applyNumberFormat="1" applyFont="1" applyFill="1" applyBorder="1" applyAlignment="1">
      <alignment horizontal="center" vertical="center"/>
    </xf>
    <xf numFmtId="165" fontId="6" fillId="3" borderId="4" xfId="0" applyNumberFormat="1" applyFont="1" applyFill="1" applyBorder="1" applyAlignment="1">
      <alignment horizontal="center" vertical="center"/>
    </xf>
    <xf numFmtId="2" fontId="19" fillId="7" borderId="1" xfId="0" applyNumberFormat="1" applyFont="1" applyFill="1" applyBorder="1" applyAlignment="1">
      <alignment horizontal="center" vertical="center"/>
    </xf>
    <xf numFmtId="2" fontId="12" fillId="7" borderId="13" xfId="0" applyNumberFormat="1" applyFont="1" applyFill="1" applyBorder="1" applyAlignment="1">
      <alignment horizontal="center" vertical="center"/>
    </xf>
    <xf numFmtId="2" fontId="19" fillId="7" borderId="3" xfId="0" applyNumberFormat="1" applyFont="1" applyFill="1" applyBorder="1" applyAlignment="1">
      <alignment horizontal="center" vertical="center"/>
    </xf>
    <xf numFmtId="2" fontId="12" fillId="7" borderId="14" xfId="0" applyNumberFormat="1" applyFont="1" applyFill="1" applyBorder="1" applyAlignment="1">
      <alignment horizontal="center" vertical="center"/>
    </xf>
    <xf numFmtId="2" fontId="12" fillId="7" borderId="2" xfId="0" applyNumberFormat="1" applyFont="1" applyFill="1" applyBorder="1" applyAlignment="1">
      <alignment horizontal="center" vertical="center"/>
    </xf>
    <xf numFmtId="2" fontId="12" fillId="7" borderId="9" xfId="0" applyNumberFormat="1" applyFont="1" applyFill="1" applyBorder="1" applyAlignment="1">
      <alignment horizontal="center" vertical="center"/>
    </xf>
    <xf numFmtId="0" fontId="0" fillId="9" borderId="17" xfId="0" applyFill="1" applyBorder="1" applyAlignment="1">
      <alignment horizontal="center"/>
    </xf>
    <xf numFmtId="2" fontId="20" fillId="9" borderId="17" xfId="0" applyNumberFormat="1" applyFont="1" applyFill="1" applyBorder="1" applyAlignment="1">
      <alignment horizontal="center"/>
    </xf>
    <xf numFmtId="2" fontId="14" fillId="7" borderId="5" xfId="0" applyNumberFormat="1" applyFont="1" applyFill="1" applyBorder="1" applyAlignment="1">
      <alignment horizontal="center" vertical="center"/>
    </xf>
    <xf numFmtId="2" fontId="12" fillId="7" borderId="5" xfId="0" applyNumberFormat="1" applyFont="1" applyFill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 vertical="center"/>
    </xf>
    <xf numFmtId="0" fontId="0" fillId="9" borderId="18" xfId="0" applyFill="1" applyBorder="1" applyAlignment="1">
      <alignment horizontal="center"/>
    </xf>
    <xf numFmtId="2" fontId="14" fillId="7" borderId="4" xfId="0" applyNumberFormat="1" applyFont="1" applyFill="1" applyBorder="1" applyAlignment="1">
      <alignment horizontal="center" vertical="center"/>
    </xf>
    <xf numFmtId="2" fontId="12" fillId="7" borderId="4" xfId="0" applyNumberFormat="1" applyFont="1" applyFill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/>
    </xf>
    <xf numFmtId="2" fontId="12" fillId="7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2" fontId="14" fillId="7" borderId="3" xfId="0" applyNumberFormat="1" applyFont="1" applyFill="1" applyBorder="1" applyAlignment="1">
      <alignment horizontal="center" vertical="center"/>
    </xf>
    <xf numFmtId="2" fontId="12" fillId="7" borderId="3" xfId="0" applyNumberFormat="1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center"/>
    </xf>
    <xf numFmtId="0" fontId="22" fillId="9" borderId="17" xfId="0" applyFont="1" applyFill="1" applyBorder="1" applyAlignment="1">
      <alignment horizontal="center"/>
    </xf>
    <xf numFmtId="2" fontId="23" fillId="7" borderId="10" xfId="0" applyNumberFormat="1" applyFont="1" applyFill="1" applyBorder="1" applyAlignment="1">
      <alignment horizontal="center" vertical="center"/>
    </xf>
    <xf numFmtId="2" fontId="23" fillId="7" borderId="11" xfId="0" applyNumberFormat="1" applyFont="1" applyFill="1" applyBorder="1" applyAlignment="1">
      <alignment horizontal="center" vertical="center"/>
    </xf>
    <xf numFmtId="2" fontId="23" fillId="7" borderId="2" xfId="0" applyNumberFormat="1" applyFont="1" applyFill="1" applyBorder="1" applyAlignment="1">
      <alignment horizontal="center" vertical="center"/>
    </xf>
    <xf numFmtId="2" fontId="23" fillId="7" borderId="9" xfId="0" applyNumberFormat="1" applyFont="1" applyFill="1" applyBorder="1" applyAlignment="1">
      <alignment horizontal="center" vertical="center"/>
    </xf>
    <xf numFmtId="2" fontId="23" fillId="9" borderId="17" xfId="0" applyNumberFormat="1" applyFont="1" applyFill="1" applyBorder="1" applyAlignment="1">
      <alignment horizontal="center" vertical="center"/>
    </xf>
    <xf numFmtId="2" fontId="23" fillId="7" borderId="5" xfId="0" applyNumberFormat="1" applyFont="1" applyFill="1" applyBorder="1" applyAlignment="1">
      <alignment horizontal="center" vertical="center"/>
    </xf>
    <xf numFmtId="2" fontId="23" fillId="7" borderId="4" xfId="0" applyNumberFormat="1" applyFont="1" applyFill="1" applyBorder="1" applyAlignment="1">
      <alignment horizontal="center" vertical="center"/>
    </xf>
    <xf numFmtId="166" fontId="9" fillId="8" borderId="15" xfId="0" applyNumberFormat="1" applyFont="1" applyFill="1" applyBorder="1" applyAlignment="1">
      <alignment horizontal="center" vertical="center" wrapText="1"/>
    </xf>
    <xf numFmtId="166" fontId="9" fillId="8" borderId="2" xfId="0" applyNumberFormat="1" applyFont="1" applyFill="1" applyBorder="1" applyAlignment="1">
      <alignment horizontal="center" vertical="center" wrapText="1"/>
    </xf>
    <xf numFmtId="166" fontId="9" fillId="8" borderId="9" xfId="0" applyNumberFormat="1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/>
    </xf>
    <xf numFmtId="166" fontId="9" fillId="8" borderId="5" xfId="0" applyNumberFormat="1" applyFont="1" applyFill="1" applyBorder="1" applyAlignment="1">
      <alignment horizontal="center" vertical="center" wrapText="1"/>
    </xf>
    <xf numFmtId="166" fontId="9" fillId="8" borderId="4" xfId="0" applyNumberFormat="1" applyFont="1" applyFill="1" applyBorder="1" applyAlignment="1">
      <alignment horizontal="center" vertical="center" wrapText="1"/>
    </xf>
    <xf numFmtId="166" fontId="9" fillId="8" borderId="1" xfId="0" applyNumberFormat="1" applyFont="1" applyFill="1" applyBorder="1" applyAlignment="1">
      <alignment horizontal="center" vertical="center" wrapText="1"/>
    </xf>
    <xf numFmtId="166" fontId="9" fillId="8" borderId="3" xfId="0" applyNumberFormat="1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2" fontId="20" fillId="9" borderId="7" xfId="0" applyNumberFormat="1" applyFont="1" applyFill="1" applyBorder="1" applyAlignment="1">
      <alignment horizontal="center"/>
    </xf>
    <xf numFmtId="2" fontId="23" fillId="9" borderId="7" xfId="0" applyNumberFormat="1" applyFont="1" applyFill="1" applyBorder="1" applyAlignment="1">
      <alignment horizontal="center" vertical="center"/>
    </xf>
    <xf numFmtId="0" fontId="22" fillId="9" borderId="7" xfId="0" applyFont="1" applyFill="1" applyBorder="1" applyAlignment="1">
      <alignment horizontal="center"/>
    </xf>
    <xf numFmtId="2" fontId="0" fillId="9" borderId="7" xfId="0" applyNumberFormat="1" applyFill="1" applyBorder="1" applyAlignment="1">
      <alignment horizontal="center"/>
    </xf>
    <xf numFmtId="2" fontId="22" fillId="9" borderId="7" xfId="0" applyNumberFormat="1" applyFont="1" applyFill="1" applyBorder="1" applyAlignment="1">
      <alignment horizontal="center"/>
    </xf>
    <xf numFmtId="0" fontId="16" fillId="9" borderId="7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/>
    </xf>
    <xf numFmtId="164" fontId="15" fillId="5" borderId="2" xfId="0" applyNumberFormat="1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  <xf numFmtId="0" fontId="25" fillId="0" borderId="19" xfId="0" applyFont="1"/>
    <xf numFmtId="1" fontId="26" fillId="4" borderId="4" xfId="0" applyNumberFormat="1" applyFont="1" applyFill="1" applyBorder="1" applyAlignment="1">
      <alignment horizontal="center" vertical="center"/>
    </xf>
    <xf numFmtId="1" fontId="26" fillId="4" borderId="5" xfId="0" applyNumberFormat="1" applyFont="1" applyFill="1" applyBorder="1" applyAlignment="1">
      <alignment horizontal="center" vertical="center"/>
    </xf>
    <xf numFmtId="1" fontId="26" fillId="4" borderId="1" xfId="0" applyNumberFormat="1" applyFont="1" applyFill="1" applyBorder="1" applyAlignment="1">
      <alignment horizontal="center" vertical="center"/>
    </xf>
    <xf numFmtId="1" fontId="26" fillId="4" borderId="3" xfId="0" applyNumberFormat="1" applyFont="1" applyFill="1" applyBorder="1" applyAlignment="1">
      <alignment horizontal="center" vertical="center"/>
    </xf>
    <xf numFmtId="2" fontId="25" fillId="0" borderId="19" xfId="0" applyNumberFormat="1" applyFont="1"/>
    <xf numFmtId="0" fontId="25" fillId="0" borderId="20" xfId="0" applyFont="1" applyBorder="1"/>
    <xf numFmtId="0" fontId="27" fillId="0" borderId="21" xfId="0" applyFont="1" applyBorder="1" applyAlignment="1">
      <alignment horizontal="right" vertical="center"/>
    </xf>
    <xf numFmtId="165" fontId="28" fillId="0" borderId="22" xfId="0" applyNumberFormat="1" applyFont="1" applyBorder="1" applyAlignment="1">
      <alignment horizontal="center" vertical="center"/>
    </xf>
    <xf numFmtId="167" fontId="27" fillId="0" borderId="2" xfId="0" applyNumberFormat="1" applyFont="1" applyBorder="1" applyAlignment="1">
      <alignment horizontal="center" vertical="center"/>
    </xf>
    <xf numFmtId="0" fontId="1" fillId="0" borderId="19" xfId="0" applyFont="1" applyAlignment="1">
      <alignment horizontal="center" vertical="center"/>
    </xf>
    <xf numFmtId="0" fontId="15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2" fillId="0" borderId="0" xfId="0" applyNumberFormat="1" applyFont="1" applyBorder="1" applyAlignment="1">
      <alignment horizontal="center"/>
    </xf>
    <xf numFmtId="0" fontId="24" fillId="0" borderId="19" xfId="0" applyFont="1" applyAlignment="1">
      <alignment horizontal="center" vertical="center"/>
    </xf>
    <xf numFmtId="0" fontId="21" fillId="0" borderId="19" xfId="0" applyFont="1" applyAlignment="1">
      <alignment horizontal="center" vertical="center" wrapText="1"/>
    </xf>
  </cellXfs>
  <cellStyles count="1">
    <cellStyle name="Normal" xfId="0" builtinId="0"/>
  </cellStyles>
  <dxfs count="99"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3"/>
  <sheetViews>
    <sheetView showGridLines="0" tabSelected="1" workbookViewId="0">
      <pane ySplit="5" topLeftCell="A40" activePane="bottomLeft" state="frozen"/>
      <selection pane="bottomLeft" activeCell="N29" sqref="N29"/>
    </sheetView>
  </sheetViews>
  <sheetFormatPr baseColWidth="10" defaultColWidth="9.1640625" defaultRowHeight="15" x14ac:dyDescent="0.2"/>
  <cols>
    <col min="1" max="1" width="15.1640625" customWidth="1"/>
    <col min="2" max="2" width="29.5" style="7" customWidth="1"/>
    <col min="3" max="3" width="6.83203125" style="5" customWidth="1"/>
    <col min="4" max="4" width="6" style="5" customWidth="1"/>
    <col min="5" max="5" width="14" style="5" customWidth="1"/>
    <col min="6" max="6" width="10" style="5" customWidth="1"/>
    <col min="7" max="7" width="10.83203125" style="79" customWidth="1"/>
    <col min="8" max="8" width="7" style="5" customWidth="1"/>
    <col min="9" max="9" width="11" style="37" customWidth="1"/>
    <col min="10" max="10" width="10" style="42" customWidth="1"/>
    <col min="11" max="11" width="8" style="5" customWidth="1"/>
    <col min="12" max="12" width="13" style="5" customWidth="1"/>
    <col min="13" max="13" width="14.5" style="5" customWidth="1"/>
    <col min="14" max="14" width="26.83203125" style="5" customWidth="1"/>
    <col min="15" max="15" width="18" style="5" customWidth="1"/>
    <col min="16" max="16" width="13" hidden="1" customWidth="1"/>
  </cols>
  <sheetData>
    <row r="1" spans="1:16" ht="9.75" customHeight="1" x14ac:dyDescent="0.2"/>
    <row r="2" spans="1:16" ht="30" customHeight="1" x14ac:dyDescent="0.2">
      <c r="A2" s="123" t="s">
        <v>0</v>
      </c>
      <c r="B2" s="118"/>
      <c r="C2" s="119"/>
      <c r="D2" s="119"/>
      <c r="E2" s="119"/>
      <c r="F2" s="119"/>
      <c r="G2" s="120"/>
      <c r="H2" s="119"/>
      <c r="I2" s="121"/>
      <c r="J2" s="122"/>
      <c r="K2" s="119"/>
      <c r="L2" s="119"/>
      <c r="M2" s="119"/>
      <c r="N2" s="119"/>
      <c r="O2" s="119"/>
    </row>
    <row r="3" spans="1:16" ht="9.75" customHeight="1" x14ac:dyDescent="0.2"/>
    <row r="4" spans="1:16" ht="16" customHeight="1" x14ac:dyDescent="0.2">
      <c r="A4" s="117" t="s">
        <v>1</v>
      </c>
      <c r="B4" s="118"/>
      <c r="C4" s="119"/>
      <c r="D4" s="119"/>
      <c r="E4" s="119"/>
      <c r="F4" s="119"/>
      <c r="G4" s="120"/>
      <c r="H4" s="119"/>
      <c r="I4" s="121"/>
      <c r="J4" s="122"/>
      <c r="K4" s="119"/>
      <c r="L4" s="119"/>
      <c r="M4" s="119"/>
      <c r="N4" s="119"/>
      <c r="O4" s="119"/>
    </row>
    <row r="5" spans="1:16" ht="30" customHeight="1" thickBot="1" x14ac:dyDescent="0.25">
      <c r="A5" s="8" t="s">
        <v>2</v>
      </c>
      <c r="B5" s="9" t="s">
        <v>3</v>
      </c>
      <c r="C5" s="8" t="s">
        <v>4</v>
      </c>
      <c r="D5" s="8" t="s">
        <v>5</v>
      </c>
      <c r="E5" s="10" t="s">
        <v>6</v>
      </c>
      <c r="F5" s="8" t="s">
        <v>7</v>
      </c>
      <c r="G5" s="78" t="s">
        <v>8</v>
      </c>
      <c r="H5" s="8" t="s">
        <v>9</v>
      </c>
      <c r="I5" s="106" t="s">
        <v>10</v>
      </c>
      <c r="J5" s="41" t="s">
        <v>11</v>
      </c>
      <c r="K5" s="8" t="s">
        <v>12</v>
      </c>
      <c r="L5" s="8" t="s">
        <v>13</v>
      </c>
      <c r="M5" s="8" t="s">
        <v>2</v>
      </c>
      <c r="N5" s="11" t="s">
        <v>14</v>
      </c>
      <c r="O5" s="12" t="s">
        <v>15</v>
      </c>
    </row>
    <row r="6" spans="1:16" ht="18" customHeight="1" thickBot="1" x14ac:dyDescent="0.25">
      <c r="A6" s="31" t="s">
        <v>16</v>
      </c>
      <c r="B6" s="32"/>
      <c r="C6" s="50"/>
      <c r="D6" s="50"/>
      <c r="E6" s="50"/>
      <c r="F6" s="50"/>
      <c r="G6" s="80"/>
      <c r="H6" s="50"/>
      <c r="I6" s="38"/>
      <c r="J6" s="43"/>
      <c r="K6" s="50"/>
      <c r="L6" s="50"/>
      <c r="M6" s="54" t="s">
        <v>16</v>
      </c>
      <c r="N6" s="50"/>
      <c r="O6" s="55"/>
    </row>
    <row r="7" spans="1:16" ht="30" customHeight="1" x14ac:dyDescent="0.2">
      <c r="A7" s="13"/>
      <c r="B7" s="16" t="s">
        <v>17</v>
      </c>
      <c r="C7" s="13" t="s">
        <v>18</v>
      </c>
      <c r="D7" s="13">
        <v>24</v>
      </c>
      <c r="E7" s="13" t="s">
        <v>19</v>
      </c>
      <c r="F7" s="53">
        <v>31.2</v>
      </c>
      <c r="G7" s="81">
        <f t="shared" ref="G7:G13" si="0">F7/D7</f>
        <v>1.3</v>
      </c>
      <c r="H7" s="88">
        <v>0.23</v>
      </c>
      <c r="I7" s="56">
        <v>24</v>
      </c>
      <c r="J7" s="44">
        <f t="shared" ref="J7:J13" si="1">I7/D7</f>
        <v>1</v>
      </c>
      <c r="K7" s="13">
        <v>96</v>
      </c>
      <c r="L7" s="13" t="s">
        <v>20</v>
      </c>
      <c r="M7" s="13" t="s">
        <v>21</v>
      </c>
      <c r="N7" s="108"/>
      <c r="O7" s="57">
        <f t="shared" ref="O7:O13" si="2">N7*I7</f>
        <v>0</v>
      </c>
      <c r="P7">
        <v>5.5E-2</v>
      </c>
    </row>
    <row r="8" spans="1:16" ht="30" customHeight="1" x14ac:dyDescent="0.2">
      <c r="A8" s="2"/>
      <c r="B8" s="17" t="s">
        <v>22</v>
      </c>
      <c r="C8" s="2" t="s">
        <v>18</v>
      </c>
      <c r="D8" s="2">
        <v>24</v>
      </c>
      <c r="E8" s="23">
        <v>4560292291372</v>
      </c>
      <c r="F8" s="58">
        <v>52.56</v>
      </c>
      <c r="G8" s="81">
        <f t="shared" si="0"/>
        <v>2.19</v>
      </c>
      <c r="H8" s="89">
        <v>0.39</v>
      </c>
      <c r="I8" s="59">
        <v>24</v>
      </c>
      <c r="J8" s="44">
        <f t="shared" si="1"/>
        <v>1</v>
      </c>
      <c r="K8" s="2">
        <v>96</v>
      </c>
      <c r="L8" s="2" t="s">
        <v>23</v>
      </c>
      <c r="M8" s="36" t="s">
        <v>24</v>
      </c>
      <c r="N8" s="108"/>
      <c r="O8" s="57">
        <f t="shared" si="2"/>
        <v>0</v>
      </c>
    </row>
    <row r="9" spans="1:16" ht="30" customHeight="1" x14ac:dyDescent="0.2">
      <c r="A9" s="2"/>
      <c r="B9" s="17" t="s">
        <v>25</v>
      </c>
      <c r="C9" s="2" t="s">
        <v>18</v>
      </c>
      <c r="D9" s="2">
        <v>24</v>
      </c>
      <c r="E9" s="23">
        <v>4560292292478</v>
      </c>
      <c r="F9" s="58">
        <v>54.96</v>
      </c>
      <c r="G9" s="81">
        <f t="shared" si="0"/>
        <v>2.29</v>
      </c>
      <c r="H9" s="89">
        <v>0.23</v>
      </c>
      <c r="I9" s="59">
        <v>31.2</v>
      </c>
      <c r="J9" s="44">
        <f t="shared" si="1"/>
        <v>1.3</v>
      </c>
      <c r="K9" s="2">
        <v>96</v>
      </c>
      <c r="L9" s="2" t="s">
        <v>26</v>
      </c>
      <c r="M9" s="36" t="s">
        <v>27</v>
      </c>
      <c r="N9" s="108"/>
      <c r="O9" s="57">
        <f t="shared" si="2"/>
        <v>0</v>
      </c>
    </row>
    <row r="10" spans="1:16" ht="30" customHeight="1" x14ac:dyDescent="0.2">
      <c r="A10" s="14"/>
      <c r="B10" s="25" t="s">
        <v>28</v>
      </c>
      <c r="C10" s="26" t="s">
        <v>29</v>
      </c>
      <c r="D10" s="26">
        <v>6</v>
      </c>
      <c r="E10" s="27" t="s">
        <v>30</v>
      </c>
      <c r="F10" s="60">
        <v>11.7</v>
      </c>
      <c r="G10" s="82">
        <f t="shared" si="0"/>
        <v>1.95</v>
      </c>
      <c r="H10" s="89">
        <v>0.33</v>
      </c>
      <c r="I10" s="61">
        <v>7.8</v>
      </c>
      <c r="J10" s="45">
        <f t="shared" si="1"/>
        <v>1.3</v>
      </c>
      <c r="K10" s="14">
        <v>114</v>
      </c>
      <c r="L10" s="14" t="s">
        <v>31</v>
      </c>
      <c r="M10" s="22" t="s">
        <v>32</v>
      </c>
      <c r="N10" s="108"/>
      <c r="O10" s="57">
        <f t="shared" si="2"/>
        <v>0</v>
      </c>
    </row>
    <row r="11" spans="1:16" ht="30" customHeight="1" x14ac:dyDescent="0.2">
      <c r="A11" s="28"/>
      <c r="B11" s="18" t="s">
        <v>33</v>
      </c>
      <c r="C11" s="3" t="s">
        <v>29</v>
      </c>
      <c r="D11" s="3">
        <v>6</v>
      </c>
      <c r="E11" s="24" t="s">
        <v>34</v>
      </c>
      <c r="F11" s="51">
        <v>11.7</v>
      </c>
      <c r="G11" s="83">
        <f t="shared" si="0"/>
        <v>1.95</v>
      </c>
      <c r="H11" s="89">
        <v>0.33</v>
      </c>
      <c r="I11" s="62">
        <v>7.8</v>
      </c>
      <c r="J11" s="46">
        <f t="shared" si="1"/>
        <v>1.3</v>
      </c>
      <c r="K11" s="14">
        <v>114</v>
      </c>
      <c r="L11" s="14" t="s">
        <v>35</v>
      </c>
      <c r="M11" s="22" t="s">
        <v>36</v>
      </c>
      <c r="N11" s="108"/>
      <c r="O11" s="57">
        <f t="shared" si="2"/>
        <v>0</v>
      </c>
    </row>
    <row r="12" spans="1:16" ht="30" customHeight="1" x14ac:dyDescent="0.2">
      <c r="A12" s="28"/>
      <c r="B12" s="18" t="s">
        <v>37</v>
      </c>
      <c r="C12" s="3" t="s">
        <v>29</v>
      </c>
      <c r="D12" s="3">
        <v>6</v>
      </c>
      <c r="E12" s="24" t="s">
        <v>38</v>
      </c>
      <c r="F12" s="51">
        <v>11.7</v>
      </c>
      <c r="G12" s="83">
        <f t="shared" si="0"/>
        <v>1.95</v>
      </c>
      <c r="H12" s="89">
        <v>0.33</v>
      </c>
      <c r="I12" s="62">
        <v>7.8</v>
      </c>
      <c r="J12" s="46">
        <f t="shared" si="1"/>
        <v>1.3</v>
      </c>
      <c r="K12" s="14">
        <v>114</v>
      </c>
      <c r="L12" s="14" t="s">
        <v>31</v>
      </c>
      <c r="M12" s="22" t="s">
        <v>39</v>
      </c>
      <c r="N12" s="108"/>
      <c r="O12" s="57">
        <f t="shared" si="2"/>
        <v>0</v>
      </c>
    </row>
    <row r="13" spans="1:16" ht="40.5" customHeight="1" thickBot="1" x14ac:dyDescent="0.25">
      <c r="A13" s="33"/>
      <c r="B13" s="34" t="s">
        <v>40</v>
      </c>
      <c r="C13" s="33" t="s">
        <v>41</v>
      </c>
      <c r="D13" s="33">
        <v>6</v>
      </c>
      <c r="E13" s="33" t="s">
        <v>42</v>
      </c>
      <c r="F13" s="52">
        <v>45</v>
      </c>
      <c r="G13" s="84">
        <f t="shared" si="0"/>
        <v>7.5</v>
      </c>
      <c r="H13" s="90">
        <v>0.53</v>
      </c>
      <c r="I13" s="63">
        <v>21.3</v>
      </c>
      <c r="J13" s="47">
        <f t="shared" si="1"/>
        <v>3.5500000000000003</v>
      </c>
      <c r="K13" s="33">
        <v>140</v>
      </c>
      <c r="L13" s="33" t="s">
        <v>26</v>
      </c>
      <c r="M13" s="33" t="s">
        <v>43</v>
      </c>
      <c r="N13" s="108"/>
      <c r="O13" s="57">
        <f t="shared" si="2"/>
        <v>0</v>
      </c>
    </row>
    <row r="14" spans="1:16" ht="18" customHeight="1" thickBot="1" x14ac:dyDescent="0.25">
      <c r="A14" s="31" t="s">
        <v>44</v>
      </c>
      <c r="B14" s="35"/>
      <c r="C14" s="64"/>
      <c r="D14" s="64"/>
      <c r="E14" s="50"/>
      <c r="F14" s="65"/>
      <c r="G14" s="85"/>
      <c r="H14" s="91"/>
      <c r="I14" s="39"/>
      <c r="J14" s="43"/>
      <c r="K14" s="64"/>
      <c r="L14" s="64"/>
      <c r="M14" s="54" t="s">
        <v>44</v>
      </c>
      <c r="N14" s="50"/>
      <c r="O14" s="55"/>
    </row>
    <row r="15" spans="1:16" ht="30" customHeight="1" thickBot="1" x14ac:dyDescent="0.25">
      <c r="A15" s="15"/>
      <c r="B15" s="20" t="s">
        <v>45</v>
      </c>
      <c r="C15" s="15" t="s">
        <v>46</v>
      </c>
      <c r="D15" s="15">
        <v>24</v>
      </c>
      <c r="E15" s="15" t="s">
        <v>47</v>
      </c>
      <c r="F15" s="66">
        <v>25.2</v>
      </c>
      <c r="G15" s="86">
        <f>F15/D15</f>
        <v>1.05</v>
      </c>
      <c r="H15" s="92">
        <v>0.6</v>
      </c>
      <c r="I15" s="67">
        <f>F15*(1-0.6)</f>
        <v>10.08</v>
      </c>
      <c r="J15" s="45">
        <f>I15/D15</f>
        <v>0.42</v>
      </c>
      <c r="K15" s="15">
        <v>88</v>
      </c>
      <c r="L15" s="15" t="s">
        <v>23</v>
      </c>
      <c r="M15" s="15" t="s">
        <v>48</v>
      </c>
      <c r="N15" s="109"/>
      <c r="O15" s="68">
        <f>N15*I15</f>
        <v>0</v>
      </c>
      <c r="P15">
        <v>0.2</v>
      </c>
    </row>
    <row r="16" spans="1:16" ht="18" customHeight="1" thickBot="1" x14ac:dyDescent="0.25">
      <c r="A16" s="31" t="s">
        <v>49</v>
      </c>
      <c r="B16" s="35"/>
      <c r="C16" s="64"/>
      <c r="D16" s="64"/>
      <c r="E16" s="50"/>
      <c r="F16" s="65"/>
      <c r="G16" s="85"/>
      <c r="H16" s="91"/>
      <c r="I16" s="39"/>
      <c r="J16" s="43"/>
      <c r="K16" s="64"/>
      <c r="L16" s="64"/>
      <c r="M16" s="54" t="s">
        <v>49</v>
      </c>
      <c r="N16" s="64"/>
      <c r="O16" s="69"/>
    </row>
    <row r="17" spans="1:16" ht="30" customHeight="1" x14ac:dyDescent="0.2">
      <c r="A17" s="13"/>
      <c r="B17" s="16" t="s">
        <v>50</v>
      </c>
      <c r="C17" s="13" t="s">
        <v>51</v>
      </c>
      <c r="D17" s="13">
        <v>8</v>
      </c>
      <c r="E17" s="13" t="s">
        <v>52</v>
      </c>
      <c r="F17" s="70">
        <v>58</v>
      </c>
      <c r="G17" s="87">
        <f t="shared" ref="G17:G31" si="3">F17/D17</f>
        <v>7.25</v>
      </c>
      <c r="H17" s="93">
        <v>0.5</v>
      </c>
      <c r="I17" s="71">
        <f t="shared" ref="I17:I31" si="4">F17*(1-0.5)</f>
        <v>29</v>
      </c>
      <c r="J17" s="44">
        <f t="shared" ref="J17:J31" si="5">I17/D17</f>
        <v>3.625</v>
      </c>
      <c r="K17" s="13">
        <v>48</v>
      </c>
      <c r="L17" s="13" t="s">
        <v>53</v>
      </c>
      <c r="M17" s="13" t="s">
        <v>54</v>
      </c>
      <c r="N17" s="108"/>
      <c r="O17" s="57">
        <f t="shared" ref="O17:O31" si="6">N17*I17</f>
        <v>0</v>
      </c>
      <c r="P17">
        <v>0.2</v>
      </c>
    </row>
    <row r="18" spans="1:16" ht="30" customHeight="1" x14ac:dyDescent="0.2">
      <c r="A18" s="2"/>
      <c r="B18" s="21" t="s">
        <v>55</v>
      </c>
      <c r="C18" s="2" t="s">
        <v>56</v>
      </c>
      <c r="D18" s="2">
        <v>8</v>
      </c>
      <c r="E18" s="2" t="s">
        <v>57</v>
      </c>
      <c r="F18" s="72">
        <v>58</v>
      </c>
      <c r="G18" s="87">
        <f t="shared" si="3"/>
        <v>7.25</v>
      </c>
      <c r="H18" s="94">
        <v>0.5</v>
      </c>
      <c r="I18" s="73">
        <f t="shared" si="4"/>
        <v>29</v>
      </c>
      <c r="J18" s="48">
        <f t="shared" si="5"/>
        <v>3.625</v>
      </c>
      <c r="K18" s="2">
        <v>48</v>
      </c>
      <c r="L18" s="2" t="s">
        <v>58</v>
      </c>
      <c r="M18" s="2" t="s">
        <v>59</v>
      </c>
      <c r="N18" s="110"/>
      <c r="O18" s="74">
        <f t="shared" si="6"/>
        <v>0</v>
      </c>
      <c r="P18">
        <v>0.2</v>
      </c>
    </row>
    <row r="19" spans="1:16" ht="30" customHeight="1" x14ac:dyDescent="0.2">
      <c r="A19" s="2"/>
      <c r="B19" s="21" t="s">
        <v>60</v>
      </c>
      <c r="C19" s="2" t="s">
        <v>61</v>
      </c>
      <c r="D19" s="2">
        <v>24</v>
      </c>
      <c r="E19" s="2" t="s">
        <v>62</v>
      </c>
      <c r="F19" s="72">
        <v>16.8</v>
      </c>
      <c r="G19" s="87">
        <f t="shared" si="3"/>
        <v>0.70000000000000007</v>
      </c>
      <c r="H19" s="94">
        <v>0.5</v>
      </c>
      <c r="I19" s="73">
        <f t="shared" si="4"/>
        <v>8.4</v>
      </c>
      <c r="J19" s="48">
        <f t="shared" si="5"/>
        <v>0.35000000000000003</v>
      </c>
      <c r="K19" s="2">
        <v>48</v>
      </c>
      <c r="L19" s="2" t="s">
        <v>23</v>
      </c>
      <c r="M19" s="2" t="s">
        <v>63</v>
      </c>
      <c r="N19" s="110"/>
      <c r="O19" s="74">
        <f t="shared" si="6"/>
        <v>0</v>
      </c>
      <c r="P19">
        <v>0.2</v>
      </c>
    </row>
    <row r="20" spans="1:16" ht="30" customHeight="1" x14ac:dyDescent="0.2">
      <c r="A20" s="2"/>
      <c r="B20" s="21" t="s">
        <v>64</v>
      </c>
      <c r="C20" s="2" t="s">
        <v>61</v>
      </c>
      <c r="D20" s="2">
        <v>24</v>
      </c>
      <c r="E20" s="2" t="s">
        <v>65</v>
      </c>
      <c r="F20" s="72">
        <v>16.8</v>
      </c>
      <c r="G20" s="87">
        <f t="shared" si="3"/>
        <v>0.70000000000000007</v>
      </c>
      <c r="H20" s="94">
        <v>0.5</v>
      </c>
      <c r="I20" s="73">
        <f t="shared" si="4"/>
        <v>8.4</v>
      </c>
      <c r="J20" s="48">
        <f t="shared" si="5"/>
        <v>0.35000000000000003</v>
      </c>
      <c r="K20" s="2">
        <v>48</v>
      </c>
      <c r="L20" s="2" t="s">
        <v>23</v>
      </c>
      <c r="M20" s="2" t="s">
        <v>66</v>
      </c>
      <c r="N20" s="110"/>
      <c r="O20" s="74">
        <f t="shared" si="6"/>
        <v>0</v>
      </c>
      <c r="P20">
        <v>5.5E-2</v>
      </c>
    </row>
    <row r="21" spans="1:16" ht="36" customHeight="1" x14ac:dyDescent="0.2">
      <c r="A21" s="2"/>
      <c r="B21" s="21" t="s">
        <v>67</v>
      </c>
      <c r="C21" s="2" t="s">
        <v>18</v>
      </c>
      <c r="D21" s="2">
        <v>24</v>
      </c>
      <c r="E21" s="2" t="s">
        <v>68</v>
      </c>
      <c r="F21" s="72">
        <v>37.200000000000003</v>
      </c>
      <c r="G21" s="87">
        <f t="shared" si="3"/>
        <v>1.55</v>
      </c>
      <c r="H21" s="94">
        <v>0.5</v>
      </c>
      <c r="I21" s="73">
        <f t="shared" si="4"/>
        <v>18.600000000000001</v>
      </c>
      <c r="J21" s="48">
        <f t="shared" si="5"/>
        <v>0.77500000000000002</v>
      </c>
      <c r="K21" s="2">
        <v>80</v>
      </c>
      <c r="L21" s="2" t="s">
        <v>53</v>
      </c>
      <c r="M21" s="2" t="s">
        <v>69</v>
      </c>
      <c r="N21" s="110"/>
      <c r="O21" s="74">
        <f t="shared" si="6"/>
        <v>0</v>
      </c>
      <c r="P21">
        <v>5.5E-2</v>
      </c>
    </row>
    <row r="22" spans="1:16" ht="40.5" customHeight="1" x14ac:dyDescent="0.2">
      <c r="A22" s="2"/>
      <c r="B22" s="21" t="s">
        <v>70</v>
      </c>
      <c r="C22" s="2" t="s">
        <v>71</v>
      </c>
      <c r="D22" s="2">
        <v>24</v>
      </c>
      <c r="E22" s="2" t="s">
        <v>72</v>
      </c>
      <c r="F22" s="72">
        <v>25.2</v>
      </c>
      <c r="G22" s="87">
        <f t="shared" si="3"/>
        <v>1.05</v>
      </c>
      <c r="H22" s="94">
        <v>0.5</v>
      </c>
      <c r="I22" s="73">
        <f t="shared" si="4"/>
        <v>12.6</v>
      </c>
      <c r="J22" s="48">
        <f t="shared" si="5"/>
        <v>0.52500000000000002</v>
      </c>
      <c r="K22" s="2">
        <v>88</v>
      </c>
      <c r="L22" s="2" t="s">
        <v>23</v>
      </c>
      <c r="M22" s="2" t="s">
        <v>73</v>
      </c>
      <c r="N22" s="110"/>
      <c r="O22" s="74">
        <f t="shared" si="6"/>
        <v>0</v>
      </c>
      <c r="P22">
        <v>5.5E-2</v>
      </c>
    </row>
    <row r="23" spans="1:16" ht="39" customHeight="1" x14ac:dyDescent="0.2">
      <c r="A23" s="2"/>
      <c r="B23" s="21" t="s">
        <v>74</v>
      </c>
      <c r="C23" s="2" t="s">
        <v>71</v>
      </c>
      <c r="D23" s="2">
        <v>24</v>
      </c>
      <c r="E23" s="2" t="s">
        <v>75</v>
      </c>
      <c r="F23" s="72">
        <v>26.4</v>
      </c>
      <c r="G23" s="87">
        <f t="shared" si="3"/>
        <v>1.0999999999999999</v>
      </c>
      <c r="H23" s="94">
        <v>0.5</v>
      </c>
      <c r="I23" s="73">
        <f t="shared" si="4"/>
        <v>13.2</v>
      </c>
      <c r="J23" s="48">
        <f t="shared" si="5"/>
        <v>0.54999999999999993</v>
      </c>
      <c r="K23" s="2">
        <v>96</v>
      </c>
      <c r="L23" s="2" t="s">
        <v>76</v>
      </c>
      <c r="M23" s="2" t="s">
        <v>77</v>
      </c>
      <c r="N23" s="110"/>
      <c r="O23" s="74">
        <f t="shared" si="6"/>
        <v>0</v>
      </c>
      <c r="P23">
        <v>5.5E-2</v>
      </c>
    </row>
    <row r="24" spans="1:16" ht="38.25" customHeight="1" x14ac:dyDescent="0.2">
      <c r="A24" s="2"/>
      <c r="B24" s="21" t="s">
        <v>78</v>
      </c>
      <c r="C24" s="2" t="s">
        <v>79</v>
      </c>
      <c r="D24" s="2">
        <v>24</v>
      </c>
      <c r="E24" s="2" t="s">
        <v>80</v>
      </c>
      <c r="F24" s="72">
        <v>22.8</v>
      </c>
      <c r="G24" s="87">
        <f t="shared" si="3"/>
        <v>0.95000000000000007</v>
      </c>
      <c r="H24" s="94">
        <v>0.5</v>
      </c>
      <c r="I24" s="73">
        <f t="shared" si="4"/>
        <v>11.4</v>
      </c>
      <c r="J24" s="48">
        <f t="shared" si="5"/>
        <v>0.47500000000000003</v>
      </c>
      <c r="K24" s="2">
        <v>120</v>
      </c>
      <c r="L24" s="2" t="s">
        <v>81</v>
      </c>
      <c r="M24" s="2" t="s">
        <v>82</v>
      </c>
      <c r="N24" s="110"/>
      <c r="O24" s="74">
        <f t="shared" si="6"/>
        <v>0</v>
      </c>
      <c r="P24">
        <v>5.5E-2</v>
      </c>
    </row>
    <row r="25" spans="1:16" ht="37.5" customHeight="1" x14ac:dyDescent="0.2">
      <c r="A25" s="2"/>
      <c r="B25" s="21" t="s">
        <v>83</v>
      </c>
      <c r="C25" s="2" t="s">
        <v>79</v>
      </c>
      <c r="D25" s="2">
        <v>24</v>
      </c>
      <c r="E25" s="2" t="s">
        <v>84</v>
      </c>
      <c r="F25" s="72">
        <v>22.8</v>
      </c>
      <c r="G25" s="87">
        <f t="shared" si="3"/>
        <v>0.95000000000000007</v>
      </c>
      <c r="H25" s="94">
        <v>0.5</v>
      </c>
      <c r="I25" s="73">
        <f t="shared" si="4"/>
        <v>11.4</v>
      </c>
      <c r="J25" s="48">
        <f t="shared" si="5"/>
        <v>0.47500000000000003</v>
      </c>
      <c r="K25" s="2">
        <v>120</v>
      </c>
      <c r="L25" s="2" t="s">
        <v>76</v>
      </c>
      <c r="M25" s="2" t="s">
        <v>85</v>
      </c>
      <c r="N25" s="110"/>
      <c r="O25" s="74">
        <f t="shared" si="6"/>
        <v>0</v>
      </c>
      <c r="P25">
        <v>5.5E-2</v>
      </c>
    </row>
    <row r="26" spans="1:16" ht="30" customHeight="1" x14ac:dyDescent="0.2">
      <c r="A26" s="2"/>
      <c r="B26" s="21" t="s">
        <v>86</v>
      </c>
      <c r="C26" s="2" t="s">
        <v>79</v>
      </c>
      <c r="D26" s="2">
        <v>24</v>
      </c>
      <c r="E26" s="2" t="s">
        <v>87</v>
      </c>
      <c r="F26" s="72">
        <v>16.32</v>
      </c>
      <c r="G26" s="87">
        <f t="shared" si="3"/>
        <v>0.68</v>
      </c>
      <c r="H26" s="94">
        <v>0.5</v>
      </c>
      <c r="I26" s="73">
        <f t="shared" si="4"/>
        <v>8.16</v>
      </c>
      <c r="J26" s="48">
        <f t="shared" si="5"/>
        <v>0.34</v>
      </c>
      <c r="K26" s="2">
        <v>130</v>
      </c>
      <c r="L26" s="2" t="s">
        <v>76</v>
      </c>
      <c r="M26" s="2" t="s">
        <v>88</v>
      </c>
      <c r="N26" s="110"/>
      <c r="O26" s="74">
        <f t="shared" si="6"/>
        <v>0</v>
      </c>
      <c r="P26">
        <v>5.5E-2</v>
      </c>
    </row>
    <row r="27" spans="1:16" ht="30" customHeight="1" x14ac:dyDescent="0.2">
      <c r="A27" s="2"/>
      <c r="B27" s="21" t="s">
        <v>89</v>
      </c>
      <c r="C27" s="2" t="s">
        <v>79</v>
      </c>
      <c r="D27" s="2">
        <v>24</v>
      </c>
      <c r="E27" s="2" t="s">
        <v>90</v>
      </c>
      <c r="F27" s="72">
        <v>13.68</v>
      </c>
      <c r="G27" s="87">
        <f t="shared" si="3"/>
        <v>0.56999999999999995</v>
      </c>
      <c r="H27" s="94">
        <v>0.5</v>
      </c>
      <c r="I27" s="73">
        <f t="shared" si="4"/>
        <v>6.84</v>
      </c>
      <c r="J27" s="48">
        <f t="shared" si="5"/>
        <v>0.28499999999999998</v>
      </c>
      <c r="K27" s="2">
        <v>100</v>
      </c>
      <c r="L27" s="2" t="s">
        <v>76</v>
      </c>
      <c r="M27" s="2" t="s">
        <v>91</v>
      </c>
      <c r="N27" s="110"/>
      <c r="O27" s="74">
        <f t="shared" si="6"/>
        <v>0</v>
      </c>
      <c r="P27">
        <v>5.5E-2</v>
      </c>
    </row>
    <row r="28" spans="1:16" ht="30" customHeight="1" x14ac:dyDescent="0.2">
      <c r="A28" s="2"/>
      <c r="B28" s="18" t="s">
        <v>92</v>
      </c>
      <c r="C28" s="2" t="s">
        <v>61</v>
      </c>
      <c r="D28" s="2">
        <v>24</v>
      </c>
      <c r="E28" s="2" t="s">
        <v>93</v>
      </c>
      <c r="F28" s="72">
        <v>15.6</v>
      </c>
      <c r="G28" s="87">
        <f t="shared" si="3"/>
        <v>0.65</v>
      </c>
      <c r="H28" s="94">
        <v>0.5</v>
      </c>
      <c r="I28" s="73">
        <f t="shared" si="4"/>
        <v>7.8</v>
      </c>
      <c r="J28" s="48">
        <f t="shared" si="5"/>
        <v>0.32500000000000001</v>
      </c>
      <c r="K28" s="2">
        <v>54</v>
      </c>
      <c r="L28" s="2" t="s">
        <v>76</v>
      </c>
      <c r="M28" s="2" t="s">
        <v>94</v>
      </c>
      <c r="N28" s="110"/>
      <c r="O28" s="74">
        <f t="shared" si="6"/>
        <v>0</v>
      </c>
      <c r="P28">
        <v>5.5E-2</v>
      </c>
    </row>
    <row r="29" spans="1:16" ht="40.5" customHeight="1" x14ac:dyDescent="0.2">
      <c r="A29" s="2"/>
      <c r="B29" s="21" t="s">
        <v>95</v>
      </c>
      <c r="C29" s="2" t="s">
        <v>96</v>
      </c>
      <c r="D29" s="2">
        <v>24</v>
      </c>
      <c r="E29" s="2" t="s">
        <v>97</v>
      </c>
      <c r="F29" s="72">
        <v>15.6</v>
      </c>
      <c r="G29" s="87">
        <f t="shared" si="3"/>
        <v>0.65</v>
      </c>
      <c r="H29" s="94">
        <v>0.5</v>
      </c>
      <c r="I29" s="73">
        <f t="shared" si="4"/>
        <v>7.8</v>
      </c>
      <c r="J29" s="48">
        <f t="shared" si="5"/>
        <v>0.32500000000000001</v>
      </c>
      <c r="K29" s="2">
        <v>91</v>
      </c>
      <c r="L29" s="2" t="s">
        <v>81</v>
      </c>
      <c r="M29" s="2" t="s">
        <v>98</v>
      </c>
      <c r="N29" s="110"/>
      <c r="O29" s="74">
        <f t="shared" si="6"/>
        <v>0</v>
      </c>
      <c r="P29">
        <v>0.2</v>
      </c>
    </row>
    <row r="30" spans="1:16" ht="30" customHeight="1" x14ac:dyDescent="0.2">
      <c r="A30" s="2"/>
      <c r="B30" s="21" t="s">
        <v>99</v>
      </c>
      <c r="C30" s="2" t="s">
        <v>100</v>
      </c>
      <c r="D30" s="2">
        <v>24</v>
      </c>
      <c r="E30" s="2" t="s">
        <v>101</v>
      </c>
      <c r="F30" s="72">
        <v>20.399999999999999</v>
      </c>
      <c r="G30" s="87">
        <f t="shared" si="3"/>
        <v>0.85</v>
      </c>
      <c r="H30" s="94">
        <v>0.5</v>
      </c>
      <c r="I30" s="73">
        <f t="shared" si="4"/>
        <v>10.199999999999999</v>
      </c>
      <c r="J30" s="48">
        <f t="shared" si="5"/>
        <v>0.42499999999999999</v>
      </c>
      <c r="K30" s="2">
        <v>64</v>
      </c>
      <c r="L30" s="2" t="s">
        <v>81</v>
      </c>
      <c r="M30" s="2" t="s">
        <v>102</v>
      </c>
      <c r="N30" s="110"/>
      <c r="O30" s="74">
        <f t="shared" si="6"/>
        <v>0</v>
      </c>
      <c r="P30">
        <v>5.5E-2</v>
      </c>
    </row>
    <row r="31" spans="1:16" ht="30" customHeight="1" thickBot="1" x14ac:dyDescent="0.25">
      <c r="A31" s="14"/>
      <c r="B31" s="19" t="s">
        <v>103</v>
      </c>
      <c r="C31" s="14" t="s">
        <v>104</v>
      </c>
      <c r="D31" s="14">
        <v>6</v>
      </c>
      <c r="E31" s="14" t="s">
        <v>105</v>
      </c>
      <c r="F31" s="75">
        <v>11.1</v>
      </c>
      <c r="G31" s="86">
        <f t="shared" si="3"/>
        <v>1.8499999999999999</v>
      </c>
      <c r="H31" s="95">
        <v>0.5</v>
      </c>
      <c r="I31" s="76">
        <f t="shared" si="4"/>
        <v>5.55</v>
      </c>
      <c r="J31" s="49">
        <f t="shared" si="5"/>
        <v>0.92499999999999993</v>
      </c>
      <c r="K31" s="14">
        <v>64</v>
      </c>
      <c r="L31" s="14" t="s">
        <v>106</v>
      </c>
      <c r="M31" s="14" t="s">
        <v>107</v>
      </c>
      <c r="N31" s="111"/>
      <c r="O31" s="77">
        <f t="shared" si="6"/>
        <v>0</v>
      </c>
      <c r="P31">
        <v>5.5E-2</v>
      </c>
    </row>
    <row r="32" spans="1:16" ht="18" customHeight="1" thickBot="1" x14ac:dyDescent="0.25">
      <c r="A32" s="31" t="s">
        <v>108</v>
      </c>
      <c r="B32" s="35"/>
      <c r="C32" s="64"/>
      <c r="D32" s="64"/>
      <c r="E32" s="50"/>
      <c r="F32" s="65"/>
      <c r="G32" s="85"/>
      <c r="H32" s="80"/>
      <c r="I32" s="39"/>
      <c r="J32" s="43"/>
      <c r="K32" s="64"/>
      <c r="L32" s="64"/>
      <c r="M32" s="54" t="s">
        <v>108</v>
      </c>
      <c r="N32" s="64"/>
      <c r="O32" s="69"/>
    </row>
    <row r="33" spans="1:20" ht="30" customHeight="1" x14ac:dyDescent="0.2">
      <c r="A33" s="13"/>
      <c r="B33" s="16" t="s">
        <v>109</v>
      </c>
      <c r="C33" s="13" t="s">
        <v>18</v>
      </c>
      <c r="D33" s="13">
        <v>20</v>
      </c>
      <c r="E33" s="13" t="s">
        <v>110</v>
      </c>
      <c r="F33" s="70">
        <v>10.95</v>
      </c>
      <c r="G33" s="87">
        <f t="shared" ref="G33:G47" si="7">F33/D33</f>
        <v>0.54749999999999999</v>
      </c>
      <c r="H33" s="93">
        <v>0.4</v>
      </c>
      <c r="I33" s="71">
        <f t="shared" ref="I33:I47" si="8">F33*(1-0.4)</f>
        <v>6.5699999999999994</v>
      </c>
      <c r="J33" s="44">
        <f t="shared" ref="J33:J47" si="9">I33/D33</f>
        <v>0.32849999999999996</v>
      </c>
      <c r="K33" s="13">
        <v>96</v>
      </c>
      <c r="L33" s="13" t="s">
        <v>111</v>
      </c>
      <c r="M33" s="13" t="s">
        <v>112</v>
      </c>
      <c r="N33" s="108"/>
      <c r="O33" s="57">
        <f t="shared" ref="O33:O47" si="10">N33*I33</f>
        <v>0</v>
      </c>
      <c r="P33">
        <v>5.5E-2</v>
      </c>
    </row>
    <row r="34" spans="1:20" ht="30" customHeight="1" x14ac:dyDescent="0.2">
      <c r="A34" s="2"/>
      <c r="B34" s="21" t="s">
        <v>113</v>
      </c>
      <c r="C34" s="2" t="s">
        <v>114</v>
      </c>
      <c r="D34" s="2">
        <v>12</v>
      </c>
      <c r="E34" s="2" t="s">
        <v>115</v>
      </c>
      <c r="F34" s="72">
        <v>12.5</v>
      </c>
      <c r="G34" s="87">
        <f t="shared" si="7"/>
        <v>1.0416666666666667</v>
      </c>
      <c r="H34" s="94">
        <v>0.4</v>
      </c>
      <c r="I34" s="73">
        <f t="shared" si="8"/>
        <v>7.5</v>
      </c>
      <c r="J34" s="48">
        <f t="shared" si="9"/>
        <v>0.625</v>
      </c>
      <c r="K34" s="2">
        <v>156</v>
      </c>
      <c r="L34" s="2" t="s">
        <v>76</v>
      </c>
      <c r="M34" s="2" t="s">
        <v>116</v>
      </c>
      <c r="N34" s="110"/>
      <c r="O34" s="74">
        <f t="shared" si="10"/>
        <v>0</v>
      </c>
      <c r="P34">
        <v>5.5E-2</v>
      </c>
    </row>
    <row r="35" spans="1:20" ht="30" customHeight="1" x14ac:dyDescent="0.2">
      <c r="A35" s="2"/>
      <c r="B35" s="21" t="s">
        <v>117</v>
      </c>
      <c r="C35" s="2" t="s">
        <v>118</v>
      </c>
      <c r="D35" s="2">
        <v>4</v>
      </c>
      <c r="E35" s="2" t="s">
        <v>119</v>
      </c>
      <c r="F35" s="72">
        <v>19.8</v>
      </c>
      <c r="G35" s="87">
        <f t="shared" si="7"/>
        <v>4.95</v>
      </c>
      <c r="H35" s="94">
        <v>0.4</v>
      </c>
      <c r="I35" s="73">
        <f t="shared" si="8"/>
        <v>11.88</v>
      </c>
      <c r="J35" s="48">
        <f t="shared" si="9"/>
        <v>2.97</v>
      </c>
      <c r="K35" s="2">
        <v>104</v>
      </c>
      <c r="L35" s="2" t="s">
        <v>53</v>
      </c>
      <c r="M35" s="2" t="s">
        <v>120</v>
      </c>
      <c r="N35" s="110"/>
      <c r="O35" s="74">
        <f t="shared" si="10"/>
        <v>0</v>
      </c>
      <c r="P35">
        <v>5.5E-2</v>
      </c>
    </row>
    <row r="36" spans="1:20" ht="30" customHeight="1" x14ac:dyDescent="0.2">
      <c r="A36" s="2"/>
      <c r="B36" s="21" t="s">
        <v>121</v>
      </c>
      <c r="C36" s="2" t="s">
        <v>79</v>
      </c>
      <c r="D36" s="2">
        <v>24</v>
      </c>
      <c r="E36" s="2" t="s">
        <v>122</v>
      </c>
      <c r="F36" s="72">
        <v>18</v>
      </c>
      <c r="G36" s="87">
        <f t="shared" si="7"/>
        <v>0.75</v>
      </c>
      <c r="H36" s="94">
        <v>0.4</v>
      </c>
      <c r="I36" s="73">
        <f t="shared" si="8"/>
        <v>10.799999999999999</v>
      </c>
      <c r="J36" s="48">
        <f t="shared" si="9"/>
        <v>0.44999999999999996</v>
      </c>
      <c r="K36" s="2" t="s">
        <v>123</v>
      </c>
      <c r="L36" s="2" t="s">
        <v>124</v>
      </c>
      <c r="M36" s="2" t="s">
        <v>125</v>
      </c>
      <c r="N36" s="110"/>
      <c r="O36" s="74">
        <f t="shared" si="10"/>
        <v>0</v>
      </c>
      <c r="P36">
        <v>5.5E-2</v>
      </c>
    </row>
    <row r="37" spans="1:20" ht="30" customHeight="1" x14ac:dyDescent="0.2">
      <c r="A37" s="2"/>
      <c r="B37" s="21" t="s">
        <v>126</v>
      </c>
      <c r="C37" s="2" t="s">
        <v>79</v>
      </c>
      <c r="D37" s="2">
        <v>24</v>
      </c>
      <c r="E37" s="2" t="s">
        <v>127</v>
      </c>
      <c r="F37" s="72">
        <v>18</v>
      </c>
      <c r="G37" s="87">
        <f t="shared" si="7"/>
        <v>0.75</v>
      </c>
      <c r="H37" s="94">
        <v>0.4</v>
      </c>
      <c r="I37" s="73">
        <f t="shared" si="8"/>
        <v>10.799999999999999</v>
      </c>
      <c r="J37" s="48">
        <f t="shared" si="9"/>
        <v>0.44999999999999996</v>
      </c>
      <c r="K37" s="2" t="s">
        <v>123</v>
      </c>
      <c r="L37" s="2" t="s">
        <v>128</v>
      </c>
      <c r="M37" s="2" t="s">
        <v>129</v>
      </c>
      <c r="N37" s="110"/>
      <c r="O37" s="74">
        <f t="shared" si="10"/>
        <v>0</v>
      </c>
      <c r="P37">
        <v>5.5E-2</v>
      </c>
    </row>
    <row r="38" spans="1:20" ht="30" customHeight="1" x14ac:dyDescent="0.2">
      <c r="A38" s="2"/>
      <c r="B38" s="21" t="s">
        <v>130</v>
      </c>
      <c r="C38" s="2" t="s">
        <v>79</v>
      </c>
      <c r="D38" s="2">
        <v>24</v>
      </c>
      <c r="E38" s="2" t="s">
        <v>131</v>
      </c>
      <c r="F38" s="72">
        <v>20.399999999999999</v>
      </c>
      <c r="G38" s="87">
        <f t="shared" si="7"/>
        <v>0.85</v>
      </c>
      <c r="H38" s="94">
        <v>0.4</v>
      </c>
      <c r="I38" s="73">
        <f t="shared" si="8"/>
        <v>12.239999999999998</v>
      </c>
      <c r="J38" s="48">
        <f t="shared" si="9"/>
        <v>0.5099999999999999</v>
      </c>
      <c r="K38" s="2" t="s">
        <v>123</v>
      </c>
      <c r="L38" s="2" t="s">
        <v>132</v>
      </c>
      <c r="M38" s="2" t="s">
        <v>133</v>
      </c>
      <c r="N38" s="110"/>
      <c r="O38" s="74">
        <f t="shared" si="10"/>
        <v>0</v>
      </c>
      <c r="P38">
        <v>5.5E-2</v>
      </c>
      <c r="T38" s="1"/>
    </row>
    <row r="39" spans="1:20" ht="30" customHeight="1" x14ac:dyDescent="0.2">
      <c r="A39" s="2"/>
      <c r="B39" s="21" t="s">
        <v>134</v>
      </c>
      <c r="C39" s="2" t="s">
        <v>18</v>
      </c>
      <c r="D39" s="2">
        <v>24</v>
      </c>
      <c r="E39" s="2" t="s">
        <v>135</v>
      </c>
      <c r="F39" s="72">
        <v>21.6</v>
      </c>
      <c r="G39" s="87">
        <f t="shared" si="7"/>
        <v>0.9</v>
      </c>
      <c r="H39" s="94">
        <v>0.4</v>
      </c>
      <c r="I39" s="73">
        <f t="shared" si="8"/>
        <v>12.96</v>
      </c>
      <c r="J39" s="48">
        <f t="shared" si="9"/>
        <v>0.54</v>
      </c>
      <c r="K39" s="2" t="s">
        <v>123</v>
      </c>
      <c r="L39" s="2" t="s">
        <v>136</v>
      </c>
      <c r="M39" s="2" t="s">
        <v>137</v>
      </c>
      <c r="N39" s="110"/>
      <c r="O39" s="74">
        <f t="shared" si="10"/>
        <v>0</v>
      </c>
      <c r="P39">
        <v>5.5E-2</v>
      </c>
    </row>
    <row r="40" spans="1:20" ht="30" customHeight="1" x14ac:dyDescent="0.2">
      <c r="A40" s="2"/>
      <c r="B40" s="21" t="s">
        <v>138</v>
      </c>
      <c r="C40" s="2" t="s">
        <v>18</v>
      </c>
      <c r="D40" s="2">
        <v>24</v>
      </c>
      <c r="E40" s="2" t="s">
        <v>139</v>
      </c>
      <c r="F40" s="72">
        <v>21.6</v>
      </c>
      <c r="G40" s="87">
        <f t="shared" si="7"/>
        <v>0.9</v>
      </c>
      <c r="H40" s="94">
        <v>0.4</v>
      </c>
      <c r="I40" s="73">
        <f t="shared" si="8"/>
        <v>12.96</v>
      </c>
      <c r="J40" s="48">
        <f t="shared" si="9"/>
        <v>0.54</v>
      </c>
      <c r="K40" s="2" t="s">
        <v>123</v>
      </c>
      <c r="L40" s="2" t="s">
        <v>140</v>
      </c>
      <c r="M40" s="2" t="s">
        <v>141</v>
      </c>
      <c r="N40" s="110"/>
      <c r="O40" s="74">
        <f t="shared" si="10"/>
        <v>0</v>
      </c>
      <c r="P40">
        <v>5.5E-2</v>
      </c>
    </row>
    <row r="41" spans="1:20" ht="30" customHeight="1" x14ac:dyDescent="0.2">
      <c r="A41" s="2"/>
      <c r="B41" s="21" t="s">
        <v>142</v>
      </c>
      <c r="C41" s="2" t="s">
        <v>56</v>
      </c>
      <c r="D41" s="2">
        <v>12</v>
      </c>
      <c r="E41" s="2" t="s">
        <v>143</v>
      </c>
      <c r="F41" s="72">
        <v>31.2</v>
      </c>
      <c r="G41" s="87">
        <f t="shared" si="7"/>
        <v>2.6</v>
      </c>
      <c r="H41" s="94">
        <v>0.4</v>
      </c>
      <c r="I41" s="73">
        <f t="shared" si="8"/>
        <v>18.72</v>
      </c>
      <c r="J41" s="48">
        <f t="shared" si="9"/>
        <v>1.5599999999999998</v>
      </c>
      <c r="K41" s="2" t="s">
        <v>123</v>
      </c>
      <c r="L41" s="2" t="s">
        <v>144</v>
      </c>
      <c r="M41" s="2" t="s">
        <v>145</v>
      </c>
      <c r="N41" s="110"/>
      <c r="O41" s="74">
        <f t="shared" si="10"/>
        <v>0</v>
      </c>
      <c r="P41">
        <v>5.5E-2</v>
      </c>
    </row>
    <row r="42" spans="1:20" ht="30" customHeight="1" x14ac:dyDescent="0.2">
      <c r="A42" s="2"/>
      <c r="B42" s="21" t="s">
        <v>146</v>
      </c>
      <c r="C42" s="2" t="s">
        <v>147</v>
      </c>
      <c r="D42" s="2">
        <v>10</v>
      </c>
      <c r="E42" s="2" t="s">
        <v>148</v>
      </c>
      <c r="F42" s="72">
        <v>18</v>
      </c>
      <c r="G42" s="87">
        <f t="shared" si="7"/>
        <v>1.8</v>
      </c>
      <c r="H42" s="94">
        <v>0.4</v>
      </c>
      <c r="I42" s="73">
        <f t="shared" si="8"/>
        <v>10.799999999999999</v>
      </c>
      <c r="J42" s="48">
        <f t="shared" si="9"/>
        <v>1.0799999999999998</v>
      </c>
      <c r="K42" s="2" t="s">
        <v>123</v>
      </c>
      <c r="L42" s="2" t="s">
        <v>149</v>
      </c>
      <c r="M42" s="2" t="s">
        <v>150</v>
      </c>
      <c r="N42" s="110"/>
      <c r="O42" s="74">
        <f t="shared" si="10"/>
        <v>0</v>
      </c>
      <c r="P42">
        <v>5.5E-2</v>
      </c>
    </row>
    <row r="43" spans="1:20" ht="30" customHeight="1" x14ac:dyDescent="0.2">
      <c r="A43" s="2"/>
      <c r="B43" s="21" t="s">
        <v>151</v>
      </c>
      <c r="C43" s="2" t="s">
        <v>152</v>
      </c>
      <c r="D43" s="2">
        <v>24</v>
      </c>
      <c r="E43" s="2" t="s">
        <v>153</v>
      </c>
      <c r="F43" s="72">
        <v>34.799999999999997</v>
      </c>
      <c r="G43" s="87">
        <f t="shared" si="7"/>
        <v>1.45</v>
      </c>
      <c r="H43" s="94">
        <v>0.4</v>
      </c>
      <c r="I43" s="73">
        <f t="shared" si="8"/>
        <v>20.88</v>
      </c>
      <c r="J43" s="48">
        <f t="shared" si="9"/>
        <v>0.87</v>
      </c>
      <c r="K43" s="2" t="s">
        <v>123</v>
      </c>
      <c r="L43" s="2" t="s">
        <v>154</v>
      </c>
      <c r="M43" s="2" t="s">
        <v>155</v>
      </c>
      <c r="N43" s="110"/>
      <c r="O43" s="74">
        <f t="shared" si="10"/>
        <v>0</v>
      </c>
      <c r="P43">
        <v>5.5E-2</v>
      </c>
    </row>
    <row r="44" spans="1:20" ht="30" customHeight="1" x14ac:dyDescent="0.2">
      <c r="A44" s="2"/>
      <c r="B44" s="21" t="s">
        <v>156</v>
      </c>
      <c r="C44" s="2" t="s">
        <v>152</v>
      </c>
      <c r="D44" s="2">
        <v>24</v>
      </c>
      <c r="E44" s="2" t="s">
        <v>157</v>
      </c>
      <c r="F44" s="72">
        <v>34.799999999999997</v>
      </c>
      <c r="G44" s="87">
        <f t="shared" si="7"/>
        <v>1.45</v>
      </c>
      <c r="H44" s="94">
        <v>0.4</v>
      </c>
      <c r="I44" s="73">
        <f t="shared" si="8"/>
        <v>20.88</v>
      </c>
      <c r="J44" s="48">
        <f t="shared" si="9"/>
        <v>0.87</v>
      </c>
      <c r="K44" s="2" t="s">
        <v>123</v>
      </c>
      <c r="L44" s="2" t="s">
        <v>149</v>
      </c>
      <c r="M44" s="2" t="s">
        <v>158</v>
      </c>
      <c r="N44" s="110"/>
      <c r="O44" s="74">
        <f t="shared" si="10"/>
        <v>0</v>
      </c>
      <c r="P44">
        <v>5.5E-2</v>
      </c>
    </row>
    <row r="45" spans="1:20" ht="30" customHeight="1" x14ac:dyDescent="0.2">
      <c r="A45" s="2"/>
      <c r="B45" s="21" t="s">
        <v>159</v>
      </c>
      <c r="C45" s="2" t="s">
        <v>61</v>
      </c>
      <c r="D45" s="2">
        <v>24</v>
      </c>
      <c r="E45" s="2" t="s">
        <v>160</v>
      </c>
      <c r="F45" s="72">
        <v>37.200000000000003</v>
      </c>
      <c r="G45" s="87">
        <f t="shared" si="7"/>
        <v>1.55</v>
      </c>
      <c r="H45" s="94">
        <v>0.4</v>
      </c>
      <c r="I45" s="73">
        <f t="shared" si="8"/>
        <v>22.32</v>
      </c>
      <c r="J45" s="48">
        <f t="shared" si="9"/>
        <v>0.93</v>
      </c>
      <c r="K45" s="2" t="s">
        <v>123</v>
      </c>
      <c r="L45" s="2" t="s">
        <v>161</v>
      </c>
      <c r="M45" s="2" t="s">
        <v>162</v>
      </c>
      <c r="N45" s="110"/>
      <c r="O45" s="74">
        <f t="shared" si="10"/>
        <v>0</v>
      </c>
      <c r="P45">
        <v>5.5E-2</v>
      </c>
    </row>
    <row r="46" spans="1:20" ht="37.5" customHeight="1" x14ac:dyDescent="0.2">
      <c r="A46" s="2"/>
      <c r="B46" s="21" t="s">
        <v>163</v>
      </c>
      <c r="C46" s="2" t="s">
        <v>147</v>
      </c>
      <c r="D46" s="2">
        <v>15</v>
      </c>
      <c r="E46" s="2" t="s">
        <v>164</v>
      </c>
      <c r="F46" s="72">
        <v>24.75</v>
      </c>
      <c r="G46" s="87">
        <f t="shared" si="7"/>
        <v>1.65</v>
      </c>
      <c r="H46" s="94">
        <v>0.4</v>
      </c>
      <c r="I46" s="73">
        <f t="shared" si="8"/>
        <v>14.85</v>
      </c>
      <c r="J46" s="48">
        <f t="shared" si="9"/>
        <v>0.99</v>
      </c>
      <c r="K46" s="2" t="s">
        <v>123</v>
      </c>
      <c r="L46" s="2" t="s">
        <v>154</v>
      </c>
      <c r="M46" s="2" t="s">
        <v>165</v>
      </c>
      <c r="N46" s="110"/>
      <c r="O46" s="74">
        <f t="shared" si="10"/>
        <v>0</v>
      </c>
      <c r="P46">
        <v>5.5E-2</v>
      </c>
    </row>
    <row r="47" spans="1:20" ht="30" customHeight="1" thickBot="1" x14ac:dyDescent="0.25">
      <c r="A47" s="14"/>
      <c r="B47" s="19" t="s">
        <v>103</v>
      </c>
      <c r="C47" s="14" t="s">
        <v>104</v>
      </c>
      <c r="D47" s="14">
        <v>6</v>
      </c>
      <c r="E47" s="14" t="s">
        <v>105</v>
      </c>
      <c r="F47" s="75">
        <v>11.1</v>
      </c>
      <c r="G47" s="86">
        <f t="shared" si="7"/>
        <v>1.8499999999999999</v>
      </c>
      <c r="H47" s="95">
        <v>0.4</v>
      </c>
      <c r="I47" s="76">
        <f t="shared" si="8"/>
        <v>6.6599999999999993</v>
      </c>
      <c r="J47" s="49">
        <f t="shared" si="9"/>
        <v>1.1099999999999999</v>
      </c>
      <c r="K47" s="14">
        <v>64</v>
      </c>
      <c r="L47" s="14" t="s">
        <v>53</v>
      </c>
      <c r="M47" s="105" t="s">
        <v>107</v>
      </c>
      <c r="N47" s="111"/>
      <c r="O47" s="77">
        <f t="shared" si="10"/>
        <v>0</v>
      </c>
      <c r="P47">
        <v>5.5E-2</v>
      </c>
    </row>
    <row r="48" spans="1:20" ht="18" customHeight="1" thickBot="1" x14ac:dyDescent="0.25">
      <c r="A48" s="29" t="s">
        <v>166</v>
      </c>
      <c r="B48" s="30"/>
      <c r="C48" s="96"/>
      <c r="D48" s="96"/>
      <c r="E48" s="97"/>
      <c r="F48" s="98"/>
      <c r="G48" s="99"/>
      <c r="H48" s="100"/>
      <c r="I48" s="101"/>
      <c r="J48" s="102"/>
      <c r="K48" s="96"/>
      <c r="L48" s="96"/>
      <c r="M48" s="103" t="s">
        <v>166</v>
      </c>
      <c r="N48" s="96"/>
      <c r="O48" s="104"/>
    </row>
    <row r="49" spans="1:20" ht="30" customHeight="1" x14ac:dyDescent="0.2">
      <c r="A49" s="13"/>
      <c r="B49" s="16" t="s">
        <v>167</v>
      </c>
      <c r="C49" s="13" t="s">
        <v>79</v>
      </c>
      <c r="D49" s="13">
        <v>12</v>
      </c>
      <c r="E49" s="13" t="s">
        <v>115</v>
      </c>
      <c r="F49" s="70">
        <v>12.5</v>
      </c>
      <c r="G49" s="87">
        <f>F49/D49</f>
        <v>1.0416666666666667</v>
      </c>
      <c r="H49" s="93">
        <v>0.25</v>
      </c>
      <c r="I49" s="71">
        <f>F49*(1-0.25)</f>
        <v>9.375</v>
      </c>
      <c r="J49" s="44">
        <f>I49/D49</f>
        <v>0.78125</v>
      </c>
      <c r="K49" s="13">
        <v>156</v>
      </c>
      <c r="L49" s="13" t="s">
        <v>168</v>
      </c>
      <c r="M49" s="13" t="s">
        <v>116</v>
      </c>
      <c r="N49" s="109"/>
      <c r="O49" s="57">
        <f>N49*I49</f>
        <v>0</v>
      </c>
      <c r="P49">
        <v>5.5E-2</v>
      </c>
    </row>
    <row r="50" spans="1:20" ht="26" customHeight="1" x14ac:dyDescent="0.2">
      <c r="A50" s="107"/>
      <c r="B50" s="107"/>
      <c r="C50" s="107"/>
      <c r="D50" s="107"/>
      <c r="E50" s="107"/>
      <c r="F50" s="107"/>
      <c r="G50" s="107"/>
      <c r="H50" s="107"/>
      <c r="I50" s="112"/>
      <c r="J50" s="112"/>
      <c r="K50" s="107"/>
      <c r="L50" s="114" t="s">
        <v>15</v>
      </c>
      <c r="M50" s="113"/>
      <c r="N50" s="116">
        <f>SUM(N7:N49)</f>
        <v>0</v>
      </c>
      <c r="O50" s="115">
        <f>SUM(O7:O49)</f>
        <v>0</v>
      </c>
      <c r="P50" s="107"/>
      <c r="Q50" s="107"/>
      <c r="R50" s="107"/>
      <c r="S50" s="107"/>
      <c r="T50" s="107"/>
    </row>
    <row r="51" spans="1:20" ht="6" customHeight="1" x14ac:dyDescent="0.2">
      <c r="A51" s="4"/>
      <c r="C51" s="6"/>
      <c r="D51" s="6"/>
      <c r="E51" s="6"/>
      <c r="F51" s="6"/>
      <c r="H51" s="6"/>
      <c r="I51" s="40"/>
      <c r="K51" s="6"/>
      <c r="L51" s="6"/>
      <c r="M51" s="6"/>
      <c r="N51" s="6"/>
      <c r="O51" s="6"/>
    </row>
    <row r="53" spans="1:20" ht="28" customHeight="1" x14ac:dyDescent="0.2">
      <c r="A53" s="124" t="s">
        <v>169</v>
      </c>
      <c r="B53" s="118"/>
      <c r="C53" s="119"/>
      <c r="D53" s="119"/>
      <c r="E53" s="119"/>
      <c r="F53" s="119"/>
      <c r="G53" s="120"/>
      <c r="H53" s="119"/>
      <c r="I53" s="121"/>
      <c r="J53" s="122"/>
      <c r="K53" s="119"/>
      <c r="L53" s="119"/>
      <c r="M53" s="119"/>
      <c r="N53" s="119"/>
      <c r="O53" s="119"/>
    </row>
  </sheetData>
  <mergeCells count="3">
    <mergeCell ref="A4:O4"/>
    <mergeCell ref="A2:O2"/>
    <mergeCell ref="A53:O53"/>
  </mergeCells>
  <conditionalFormatting sqref="N7:N31">
    <cfRule type="expression" dxfId="98" priority="4">
      <formula>AND(N7&gt;0,N7&lt;4032)</formula>
    </cfRule>
    <cfRule type="expression" dxfId="97" priority="5">
      <formula>N7=4032</formula>
    </cfRule>
    <cfRule type="expression" dxfId="96" priority="6">
      <formula>N7&gt;4032</formula>
    </cfRule>
  </conditionalFormatting>
  <conditionalFormatting sqref="N13:N31">
    <cfRule type="expression" dxfId="95" priority="1">
      <formula>AND(N13&gt;0,N13&lt;1120)</formula>
    </cfRule>
    <cfRule type="expression" dxfId="94" priority="2">
      <formula>N13=1120</formula>
    </cfRule>
    <cfRule type="expression" dxfId="93" priority="3">
      <formula>N13&gt;1120</formula>
    </cfRule>
  </conditionalFormatting>
  <conditionalFormatting sqref="N15">
    <cfRule type="expression" dxfId="92" priority="105">
      <formula>N15&gt;352</formula>
    </cfRule>
    <cfRule type="expression" dxfId="91" priority="103">
      <formula>AND(N15&gt;0,N15&lt;352)</formula>
    </cfRule>
    <cfRule type="expression" dxfId="90" priority="104">
      <formula>N15=352</formula>
    </cfRule>
  </conditionalFormatting>
  <conditionalFormatting sqref="N17">
    <cfRule type="expression" dxfId="89" priority="58">
      <formula>AND(N17&gt;0,N17&lt;96)</formula>
    </cfRule>
    <cfRule type="expression" dxfId="88" priority="59">
      <formula>N17=96</formula>
    </cfRule>
    <cfRule type="expression" dxfId="87" priority="60">
      <formula>N17&gt;96</formula>
    </cfRule>
  </conditionalFormatting>
  <conditionalFormatting sqref="N18">
    <cfRule type="expression" dxfId="86" priority="61">
      <formula>AND(N18&gt;0,N18&lt;240)</formula>
    </cfRule>
    <cfRule type="expression" dxfId="85" priority="62">
      <formula>N18=240</formula>
    </cfRule>
    <cfRule type="expression" dxfId="84" priority="63">
      <formula>N18&gt;240</formula>
    </cfRule>
  </conditionalFormatting>
  <conditionalFormatting sqref="N19:N20">
    <cfRule type="expression" dxfId="83" priority="64">
      <formula>AND(N19&gt;0,N19&lt;192)</formula>
    </cfRule>
    <cfRule type="expression" dxfId="82" priority="65">
      <formula>N19=192</formula>
    </cfRule>
    <cfRule type="expression" dxfId="81" priority="66">
      <formula>N19&gt;192</formula>
    </cfRule>
  </conditionalFormatting>
  <conditionalFormatting sqref="N21">
    <cfRule type="expression" dxfId="80" priority="70">
      <formula>AND(N21&gt;0,N21&lt;240)</formula>
    </cfRule>
    <cfRule type="expression" dxfId="79" priority="71">
      <formula>N21=240</formula>
    </cfRule>
    <cfRule type="expression" dxfId="78" priority="72">
      <formula>N21&gt;240</formula>
    </cfRule>
  </conditionalFormatting>
  <conditionalFormatting sqref="N22">
    <cfRule type="expression" dxfId="77" priority="73">
      <formula>AND(N22&gt;0,N22&lt;352)</formula>
    </cfRule>
    <cfRule type="expression" dxfId="76" priority="74">
      <formula>N22=352</formula>
    </cfRule>
    <cfRule type="expression" dxfId="75" priority="75">
      <formula>N22&gt;352</formula>
    </cfRule>
  </conditionalFormatting>
  <conditionalFormatting sqref="N23">
    <cfRule type="expression" dxfId="74" priority="76">
      <formula>AND(N23&gt;0,N23&lt;96)</formula>
    </cfRule>
    <cfRule type="expression" dxfId="73" priority="77">
      <formula>N23=96</formula>
    </cfRule>
    <cfRule type="expression" dxfId="72" priority="78">
      <formula>N23&gt;96</formula>
    </cfRule>
  </conditionalFormatting>
  <conditionalFormatting sqref="N24">
    <cfRule type="expression" dxfId="71" priority="80">
      <formula>N24=240</formula>
    </cfRule>
    <cfRule type="expression" dxfId="70" priority="79">
      <formula>AND(N24&gt;0,N24&lt;240)</formula>
    </cfRule>
    <cfRule type="expression" dxfId="69" priority="81">
      <formula>N24&gt;240</formula>
    </cfRule>
  </conditionalFormatting>
  <conditionalFormatting sqref="N25">
    <cfRule type="expression" dxfId="68" priority="82">
      <formula>AND(N25&gt;0,N25&lt;120)</formula>
    </cfRule>
    <cfRule type="expression" dxfId="67" priority="83">
      <formula>N25=120</formula>
    </cfRule>
    <cfRule type="expression" dxfId="66" priority="84">
      <formula>N25&gt;120</formula>
    </cfRule>
  </conditionalFormatting>
  <conditionalFormatting sqref="N26">
    <cfRule type="expression" dxfId="65" priority="85">
      <formula>AND(N26&gt;0,N26&lt;130)</formula>
    </cfRule>
    <cfRule type="expression" dxfId="64" priority="86">
      <formula>N26=130</formula>
    </cfRule>
    <cfRule type="expression" dxfId="63" priority="87">
      <formula>N26&gt;130</formula>
    </cfRule>
  </conditionalFormatting>
  <conditionalFormatting sqref="N27">
    <cfRule type="expression" dxfId="62" priority="88">
      <formula>AND(N27&gt;0,N27&lt;100)</formula>
    </cfRule>
    <cfRule type="expression" dxfId="61" priority="89">
      <formula>N27=100</formula>
    </cfRule>
    <cfRule type="expression" dxfId="60" priority="90">
      <formula>N27&gt;100</formula>
    </cfRule>
  </conditionalFormatting>
  <conditionalFormatting sqref="N28">
    <cfRule type="expression" dxfId="59" priority="91">
      <formula>AND(N28&gt;0,N28&lt;54)</formula>
    </cfRule>
    <cfRule type="expression" dxfId="58" priority="92">
      <formula>N28=54</formula>
    </cfRule>
    <cfRule type="expression" dxfId="57" priority="93">
      <formula>N28&gt;54</formula>
    </cfRule>
  </conditionalFormatting>
  <conditionalFormatting sqref="N29">
    <cfRule type="expression" dxfId="56" priority="94">
      <formula>AND(N29&gt;0,N29&lt;182)</formula>
    </cfRule>
    <cfRule type="expression" dxfId="55" priority="95">
      <formula>N29=182</formula>
    </cfRule>
    <cfRule type="expression" dxfId="54" priority="96">
      <formula>N29&gt;182</formula>
    </cfRule>
  </conditionalFormatting>
  <conditionalFormatting sqref="N30">
    <cfRule type="expression" dxfId="53" priority="97">
      <formula>AND(N30&gt;0,N30&lt;128)</formula>
    </cfRule>
    <cfRule type="expression" dxfId="52" priority="98">
      <formula>N30=128</formula>
    </cfRule>
    <cfRule type="expression" dxfId="51" priority="99">
      <formula>N30&gt;128</formula>
    </cfRule>
  </conditionalFormatting>
  <conditionalFormatting sqref="N31">
    <cfRule type="expression" dxfId="50" priority="100">
      <formula>AND(N31&gt;0,N31&lt;0)</formula>
    </cfRule>
    <cfRule type="expression" dxfId="49" priority="102">
      <formula>N31&gt;0</formula>
    </cfRule>
    <cfRule type="expression" dxfId="48" priority="101">
      <formula>N31=0</formula>
    </cfRule>
  </conditionalFormatting>
  <conditionalFormatting sqref="N33">
    <cfRule type="expression" dxfId="47" priority="12">
      <formula>N33&gt;1152</formula>
    </cfRule>
    <cfRule type="expression" dxfId="46" priority="10">
      <formula>AND(N33&gt;0,N33&lt;1152)</formula>
    </cfRule>
    <cfRule type="expression" dxfId="45" priority="11">
      <formula>N33=1152</formula>
    </cfRule>
  </conditionalFormatting>
  <conditionalFormatting sqref="N34">
    <cfRule type="expression" dxfId="44" priority="13">
      <formula>AND(N34&gt;0,N34&lt;156)</formula>
    </cfRule>
    <cfRule type="expression" dxfId="43" priority="14">
      <formula>N34=156</formula>
    </cfRule>
    <cfRule type="expression" dxfId="42" priority="15">
      <formula>N34&gt;156</formula>
    </cfRule>
  </conditionalFormatting>
  <conditionalFormatting sqref="N35">
    <cfRule type="expression" dxfId="41" priority="16">
      <formula>AND(N35&gt;0,N35&lt;312)</formula>
    </cfRule>
    <cfRule type="expression" dxfId="40" priority="17">
      <formula>N35=312</formula>
    </cfRule>
    <cfRule type="expression" dxfId="39" priority="18">
      <formula>N35&gt;312</formula>
    </cfRule>
  </conditionalFormatting>
  <conditionalFormatting sqref="N36">
    <cfRule type="expression" dxfId="38" priority="19">
      <formula>AND(N36&gt;0,N36&lt;52)</formula>
    </cfRule>
    <cfRule type="expression" dxfId="37" priority="20">
      <formula>N36=52</formula>
    </cfRule>
    <cfRule type="expression" dxfId="36" priority="21">
      <formula>N36&gt;52</formula>
    </cfRule>
  </conditionalFormatting>
  <conditionalFormatting sqref="N37">
    <cfRule type="expression" dxfId="35" priority="22">
      <formula>AND(N37&gt;0,N37&lt;13)</formula>
    </cfRule>
    <cfRule type="expression" dxfId="34" priority="23">
      <formula>N37=13</formula>
    </cfRule>
    <cfRule type="expression" dxfId="33" priority="24">
      <formula>N37&gt;13</formula>
    </cfRule>
  </conditionalFormatting>
  <conditionalFormatting sqref="N38">
    <cfRule type="expression" dxfId="32" priority="25">
      <formula>AND(N38&gt;0,N38&lt;7)</formula>
    </cfRule>
    <cfRule type="expression" dxfId="31" priority="26">
      <formula>N38=7</formula>
    </cfRule>
    <cfRule type="expression" dxfId="30" priority="27">
      <formula>N38&gt;7</formula>
    </cfRule>
  </conditionalFormatting>
  <conditionalFormatting sqref="N39">
    <cfRule type="expression" dxfId="29" priority="29">
      <formula>N39=18</formula>
    </cfRule>
    <cfRule type="expression" dxfId="28" priority="28">
      <formula>AND(N39&gt;0,N39&lt;18)</formula>
    </cfRule>
    <cfRule type="expression" dxfId="27" priority="30">
      <formula>N39&gt;18</formula>
    </cfRule>
  </conditionalFormatting>
  <conditionalFormatting sqref="N40">
    <cfRule type="expression" dxfId="26" priority="32">
      <formula>N40=10</formula>
    </cfRule>
    <cfRule type="expression" dxfId="25" priority="31">
      <formula>AND(N40&gt;0,N40&lt;10)</formula>
    </cfRule>
    <cfRule type="expression" dxfId="24" priority="33">
      <formula>N40&gt;10</formula>
    </cfRule>
  </conditionalFormatting>
  <conditionalFormatting sqref="N41">
    <cfRule type="expression" dxfId="23" priority="34">
      <formula>AND(N41&gt;0,N41&lt;11)</formula>
    </cfRule>
    <cfRule type="expression" dxfId="22" priority="35">
      <formula>N41=11</formula>
    </cfRule>
    <cfRule type="expression" dxfId="21" priority="36">
      <formula>N41&gt;11</formula>
    </cfRule>
  </conditionalFormatting>
  <conditionalFormatting sqref="N42">
    <cfRule type="expression" dxfId="20" priority="37">
      <formula>AND(N42&gt;0,N42&lt;32)</formula>
    </cfRule>
    <cfRule type="expression" dxfId="19" priority="38">
      <formula>N42=32</formula>
    </cfRule>
    <cfRule type="expression" dxfId="18" priority="39">
      <formula>N42&gt;32</formula>
    </cfRule>
  </conditionalFormatting>
  <conditionalFormatting sqref="N43">
    <cfRule type="expression" dxfId="17" priority="40">
      <formula>AND(N43&gt;0,N43&lt;16)</formula>
    </cfRule>
    <cfRule type="expression" dxfId="16" priority="41">
      <formula>N43=16</formula>
    </cfRule>
    <cfRule type="expression" dxfId="15" priority="42">
      <formula>N43&gt;16</formula>
    </cfRule>
  </conditionalFormatting>
  <conditionalFormatting sqref="N44">
    <cfRule type="expression" dxfId="14" priority="43">
      <formula>AND(N44&gt;0,N44&lt;32)</formula>
    </cfRule>
    <cfRule type="expression" dxfId="13" priority="44">
      <formula>N44=32</formula>
    </cfRule>
    <cfRule type="expression" dxfId="12" priority="45">
      <formula>N44&gt;32</formula>
    </cfRule>
  </conditionalFormatting>
  <conditionalFormatting sqref="N45">
    <cfRule type="expression" dxfId="11" priority="46">
      <formula>AND(N45&gt;0,N45&lt;36)</formula>
    </cfRule>
    <cfRule type="expression" dxfId="10" priority="47">
      <formula>N45=36</formula>
    </cfRule>
    <cfRule type="expression" dxfId="9" priority="48">
      <formula>N45&gt;36</formula>
    </cfRule>
  </conditionalFormatting>
  <conditionalFormatting sqref="N46">
    <cfRule type="expression" dxfId="8" priority="49">
      <formula>AND(N46&gt;0,N46&lt;16)</formula>
    </cfRule>
    <cfRule type="expression" dxfId="7" priority="50">
      <formula>N46=16</formula>
    </cfRule>
    <cfRule type="expression" dxfId="6" priority="51">
      <formula>N46&gt;16</formula>
    </cfRule>
  </conditionalFormatting>
  <conditionalFormatting sqref="N47:N49">
    <cfRule type="expression" dxfId="5" priority="54">
      <formula>N47&gt;50</formula>
    </cfRule>
    <cfRule type="expression" dxfId="4" priority="53">
      <formula>N47=50</formula>
    </cfRule>
    <cfRule type="expression" dxfId="3" priority="52">
      <formula>AND(N47&gt;0,N47&lt;50)</formula>
    </cfRule>
  </conditionalFormatting>
  <conditionalFormatting sqref="N49">
    <cfRule type="expression" dxfId="2" priority="7">
      <formula>AND(N49&gt;0,N49&lt;3120)</formula>
    </cfRule>
    <cfRule type="expression" dxfId="1" priority="9">
      <formula>N49&gt;3120</formula>
    </cfRule>
    <cfRule type="expression" dxfId="0" priority="8">
      <formula>N49=3120</formula>
    </cfRule>
  </conditionalFormatting>
  <dataValidations count="31">
    <dataValidation type="whole" allowBlank="1" showInputMessage="1" showErrorMessage="1" errorTitle="Quantité hors stock" error="Stock limité à 4032 colis pour cette référence." promptTitle="Stock disponible" prompt="Maximum 4032 colis disponibles." sqref="N7" xr:uid="{00000000-0002-0000-0000-000000000000}">
      <formula1>0</formula1>
      <formula2>4032</formula2>
    </dataValidation>
    <dataValidation type="whole" allowBlank="1" showInputMessage="1" showErrorMessage="1" errorTitle="Quantité hors stock" error="Stock limité à 384 colis pour cette référence." promptTitle="Stock disponible" prompt="Maximum 384 colis disponibles." sqref="N8" xr:uid="{00000000-0002-0000-0000-000001000000}">
      <formula1>0</formula1>
      <formula2>384</formula2>
    </dataValidation>
    <dataValidation type="whole" allowBlank="1" showInputMessage="1" showErrorMessage="1" errorTitle="Quantité hors stock" error="Stock limité à 768 colis pour cette référence." promptTitle="Stock disponible" prompt="Maximum 768 colis disponibles." sqref="N9" xr:uid="{00000000-0002-0000-0000-000002000000}">
      <formula1>0</formula1>
      <formula2>768</formula2>
    </dataValidation>
    <dataValidation type="whole" allowBlank="1" showInputMessage="1" showErrorMessage="1" errorTitle="Quantité hors stock" error="Stock limité à 684 colis pour cette référence." promptTitle="Stock disponible" prompt="Maximum 684 colis disponibles." sqref="N10 N12" xr:uid="{00000000-0002-0000-0000-000003000000}">
      <formula1>0</formula1>
      <formula2>684</formula2>
    </dataValidation>
    <dataValidation type="whole" allowBlank="1" showInputMessage="1" showErrorMessage="1" errorTitle="Quantité hors stock" error="Stock limité à 798 colis pour cette référence." promptTitle="Stock disponible" prompt="Maximum 798 colis disponibles." sqref="N11" xr:uid="{00000000-0002-0000-0000-000004000000}">
      <formula1>0</formula1>
      <formula2>798</formula2>
    </dataValidation>
    <dataValidation type="whole" allowBlank="1" showInputMessage="1" showErrorMessage="1" errorTitle="Quantité hors stock" error="Stock limité à 1120 colis pour cette référence." promptTitle="Stock disponible" prompt="Maximum 1120 colis disponibles." sqref="N13" xr:uid="{00000000-0002-0000-0000-000005000000}">
      <formula1>0</formula1>
      <formula2>1120</formula2>
    </dataValidation>
    <dataValidation type="whole" allowBlank="1" showInputMessage="1" showErrorMessage="1" errorTitle="Quantité hors stock" error="Stock limité à 352 colis pour cette référence." promptTitle="Stock disponible" prompt="Maximum 352 colis disponibles." sqref="N15 N22" xr:uid="{00000000-0002-0000-0000-000006000000}">
      <formula1>0</formula1>
      <formula2>352</formula2>
    </dataValidation>
    <dataValidation type="whole" allowBlank="1" showInputMessage="1" showErrorMessage="1" errorTitle="Quantité hors stock" error="Stock limité à 144 colis pour cette référence." promptTitle="Stock disponible" prompt="Maximum 144 colis disponibles." sqref="N17" xr:uid="{00000000-0002-0000-0000-000007000000}">
      <formula1>0</formula1>
      <formula2>144</formula2>
    </dataValidation>
    <dataValidation type="whole" allowBlank="1" showInputMessage="1" showErrorMessage="1" errorTitle="Quantité hors stock" error="Stock limité à 240 colis pour cette référence." promptTitle="Stock disponible" prompt="Maximum 240 colis disponibles." sqref="N18 N21 N24" xr:uid="{00000000-0002-0000-0000-000008000000}">
      <formula1>0</formula1>
      <formula2>240</formula2>
    </dataValidation>
    <dataValidation type="whole" allowBlank="1" showInputMessage="1" showErrorMessage="1" errorTitle="Quantité hors stock" error="Stock limité à 192 colis pour cette référence." promptTitle="Stock disponible" prompt="Maximum 192 colis disponibles." sqref="N19:N20 N47" xr:uid="{00000000-0002-0000-0000-000009000000}">
      <formula1>0</formula1>
      <formula2>192</formula2>
    </dataValidation>
    <dataValidation type="whole" allowBlank="1" showInputMessage="1" showErrorMessage="1" errorTitle="Quantité hors stock" error="Stock limité à 96 colis pour cette référence." promptTitle="Stock disponible" prompt="Maximum 96 colis disponibles." sqref="N23" xr:uid="{00000000-0002-0000-0000-00000A000000}">
      <formula1>0</formula1>
      <formula2>96</formula2>
    </dataValidation>
    <dataValidation type="whole" allowBlank="1" showInputMessage="1" showErrorMessage="1" errorTitle="Quantité hors stock" error="Stock limité à 120 colis pour cette référence." promptTitle="Stock disponible" prompt="Maximum 120 colis disponibles." sqref="N25" xr:uid="{00000000-0002-0000-0000-00000B000000}">
      <formula1>0</formula1>
      <formula2>120</formula2>
    </dataValidation>
    <dataValidation type="whole" allowBlank="1" showInputMessage="1" showErrorMessage="1" errorTitle="Quantité hors stock" error="Stock limité à 130 colis pour cette référence." promptTitle="Stock disponible" prompt="Maximum 130 colis disponibles." sqref="N26" xr:uid="{00000000-0002-0000-0000-00000C000000}">
      <formula1>0</formula1>
      <formula2>130</formula2>
    </dataValidation>
    <dataValidation type="whole" allowBlank="1" showInputMessage="1" showErrorMessage="1" errorTitle="Quantité hors stock" error="Stock limité à 100 colis pour cette référence." promptTitle="Stock disponible" prompt="Maximum 100 colis disponibles." sqref="N27" xr:uid="{00000000-0002-0000-0000-00000D000000}">
      <formula1>0</formula1>
      <formula2>100</formula2>
    </dataValidation>
    <dataValidation type="whole" allowBlank="1" showInputMessage="1" showErrorMessage="1" errorTitle="Quantité hors stock" error="Stock limité à 54 colis pour cette référence." promptTitle="Stock disponible" prompt="Maximum 54 colis disponibles." sqref="N28" xr:uid="{00000000-0002-0000-0000-00000E000000}">
      <formula1>0</formula1>
      <formula2>54</formula2>
    </dataValidation>
    <dataValidation type="whole" allowBlank="1" showInputMessage="1" showErrorMessage="1" errorTitle="Quantité hors stock" error="Stock limité à 182 colis pour cette référence." promptTitle="Stock disponible" prompt="Maximum 182 colis disponibles." sqref="N29" xr:uid="{00000000-0002-0000-0000-00000F000000}">
      <formula1>0</formula1>
      <formula2>182</formula2>
    </dataValidation>
    <dataValidation type="whole" allowBlank="1" showInputMessage="1" showErrorMessage="1" errorTitle="Quantité hors stock" error="Stock limité à 128 colis pour cette référence." promptTitle="Stock disponible" prompt="Maximum 128 colis disponibles." sqref="N30" xr:uid="{00000000-0002-0000-0000-000010000000}">
      <formula1>0</formula1>
      <formula2>128</formula2>
    </dataValidation>
    <dataValidation type="whole" allowBlank="1" showInputMessage="1" showErrorMessage="1" errorTitle="Quantité hors stock" error="Stock limité à 1152 colis pour cette référence." promptTitle="Stock disponible" prompt="Maximum 1152 colis disponibles." sqref="N33" xr:uid="{00000000-0002-0000-0000-000011000000}">
      <formula1>0</formula1>
      <formula2>1152</formula2>
    </dataValidation>
    <dataValidation type="whole" allowBlank="1" showInputMessage="1" showErrorMessage="1" errorTitle="Quantité hors stock" error="Stock limité à 156 colis pour cette référence." promptTitle="Stock disponible" prompt="Maximum 156 colis disponibles." sqref="N34" xr:uid="{00000000-0002-0000-0000-000012000000}">
      <formula1>0</formula1>
      <formula2>156</formula2>
    </dataValidation>
    <dataValidation type="whole" allowBlank="1" showInputMessage="1" showErrorMessage="1" errorTitle="Quantité hors stock" error="Stock limité à 312 colis pour cette référence." promptTitle="Stock disponible" prompt="Maximum 312 colis disponibles." sqref="N35" xr:uid="{00000000-0002-0000-0000-000013000000}">
      <formula1>0</formula1>
      <formula2>312</formula2>
    </dataValidation>
    <dataValidation type="whole" allowBlank="1" showInputMessage="1" showErrorMessage="1" errorTitle="Quantité hors stock" error="Stock limité à 52 colis pour cette référence." promptTitle="Stock disponible" prompt="Maximum 52 colis disponibles." sqref="N36" xr:uid="{00000000-0002-0000-0000-000014000000}">
      <formula1>0</formula1>
      <formula2>52</formula2>
    </dataValidation>
    <dataValidation type="whole" allowBlank="1" showInputMessage="1" showErrorMessage="1" errorTitle="Quantité hors stock" error="Stock limité à 13 colis pour cette référence." promptTitle="Stock disponible" prompt="Maximum 13 colis disponibles." sqref="N37" xr:uid="{00000000-0002-0000-0000-000015000000}">
      <formula1>0</formula1>
      <formula2>13</formula2>
    </dataValidation>
    <dataValidation type="whole" allowBlank="1" showInputMessage="1" showErrorMessage="1" errorTitle="Quantité hors stock" error="Stock limité à 7 colis pour cette référence." promptTitle="Stock disponible" prompt="Maximum 7 colis disponibles." sqref="N38" xr:uid="{00000000-0002-0000-0000-000016000000}">
      <formula1>0</formula1>
      <formula2>7</formula2>
    </dataValidation>
    <dataValidation type="whole" allowBlank="1" showInputMessage="1" showErrorMessage="1" errorTitle="Quantité hors stock" error="Stock limité à 18 colis pour cette référence." promptTitle="Stock disponible" prompt="Maximum 18 colis disponibles." sqref="N39" xr:uid="{00000000-0002-0000-0000-000017000000}">
      <formula1>0</formula1>
      <formula2>18</formula2>
    </dataValidation>
    <dataValidation type="whole" allowBlank="1" showInputMessage="1" showErrorMessage="1" errorTitle="Quantité hors stock" error="Stock limité à 10 colis pour cette référence." promptTitle="Stock disponible" prompt="Maximum 10 colis disponibles." sqref="N40" xr:uid="{00000000-0002-0000-0000-000018000000}">
      <formula1>0</formula1>
      <formula2>10</formula2>
    </dataValidation>
    <dataValidation type="whole" allowBlank="1" showInputMessage="1" showErrorMessage="1" errorTitle="Quantité hors stock" error="Stock limité à 11 colis pour cette référence." promptTitle="Stock disponible" prompt="Maximum 11 colis disponibles." sqref="N41" xr:uid="{00000000-0002-0000-0000-000019000000}">
      <formula1>0</formula1>
      <formula2>11</formula2>
    </dataValidation>
    <dataValidation type="whole" allowBlank="1" showInputMessage="1" showErrorMessage="1" errorTitle="Quantité hors stock" error="Stock limité à 32 colis pour cette référence." promptTitle="Stock disponible" prompt="Maximum 32 colis disponibles." sqref="N42 N44" xr:uid="{00000000-0002-0000-0000-00001A000000}">
      <formula1>0</formula1>
      <formula2>32</formula2>
    </dataValidation>
    <dataValidation type="whole" allowBlank="1" showInputMessage="1" showErrorMessage="1" errorTitle="Quantité hors stock" error="Stock limité à 16 colis pour cette référence." promptTitle="Stock disponible" prompt="Maximum 16 colis disponibles." sqref="N43 N46" xr:uid="{00000000-0002-0000-0000-00001B000000}">
      <formula1>0</formula1>
      <formula2>16</formula2>
    </dataValidation>
    <dataValidation type="whole" allowBlank="1" showInputMessage="1" showErrorMessage="1" errorTitle="Quantité hors stock" error="Stock limité à 36 colis pour cette référence." promptTitle="Stock disponible" prompt="Maximum 36 colis disponibles." sqref="N45" xr:uid="{00000000-0002-0000-0000-00001C000000}">
      <formula1>0</formula1>
      <formula2>36</formula2>
    </dataValidation>
    <dataValidation type="whole" allowBlank="1" showInputMessage="1" showErrorMessage="1" errorTitle="Quantité hors stock" error="Stock limité à 3120 colis pour cette référence." promptTitle="Stock disponible" prompt="Maximum 3120 colis disponibles." sqref="N49" xr:uid="{00000000-0002-0000-0000-00001D000000}">
      <formula1>0</formula1>
      <formula2>3120</formula2>
    </dataValidation>
    <dataValidation type="whole" allowBlank="1" showInputMessage="1" showErrorMessage="1" errorTitle="Quantité hors stock" error="Produit épuisé sur cette remise." promptTitle="Stock disponible" prompt="Maximum 0 colis disponibles." sqref="N31" xr:uid="{00000000-0002-0000-0000-00001F000000}">
      <formula1>0</formula1>
      <formula2>0</formula2>
    </dataValidation>
  </dataValidations>
  <printOptions horizontalCentered="1"/>
  <pageMargins left="0.3" right="0.3" top="0.3" bottom="0.3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Bon de commande</vt:lpstr>
      <vt:lpstr>'Bon de commande'!Impression_des_titres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Henry</cp:lastModifiedBy>
  <dcterms:created xsi:type="dcterms:W3CDTF">2026-04-27T14:55:37Z</dcterms:created>
  <dcterms:modified xsi:type="dcterms:W3CDTF">2026-04-28T23:01:36Z</dcterms:modified>
</cp:coreProperties>
</file>