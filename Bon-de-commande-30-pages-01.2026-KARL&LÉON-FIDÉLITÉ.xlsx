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gY26MypD3OEbQ/DTWqM2LjA8AGzxg6Jj9ecSKJb2UGM="/>
    </ext>
  </extLst>
</workbook>
</file>

<file path=xl/sharedStrings.xml><?xml version="1.0" encoding="utf-8"?>
<sst xmlns="http://schemas.openxmlformats.org/spreadsheetml/2006/main" count="3062" uniqueCount="1887">
  <si>
    <t>44, rue des Garennes 57155 MARLY        contact@karletleon.com</t>
  </si>
  <si>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</si>
  <si>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</si>
  <si>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</si>
  <si>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</si>
  <si>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</si>
  <si>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prix revient HT unité</t>
  </si>
  <si>
    <t>prix revient HT colis</t>
  </si>
  <si>
    <t>Points/colis</t>
  </si>
  <si>
    <t>prix départ HT unité</t>
  </si>
  <si>
    <t>prix départ HT colis</t>
  </si>
  <si>
    <t>colis commandés</t>
  </si>
  <si>
    <t>TOTAL HT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</si>
  <si>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</si>
  <si>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</si>
  <si>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</si>
  <si>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</si>
  <si>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</si>
  <si>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</si>
  <si>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</si>
  <si>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</t>
  </si>
  <si>
    <t>Monster ULTRA BLACK</t>
  </si>
  <si>
    <t>50cl</t>
  </si>
  <si>
    <t>Monster ULTRA STRAWBERRY Dreams</t>
  </si>
  <si>
    <t>5061013944342. 5056784901007</t>
  </si>
  <si>
    <t>Monster ULTRA VIOLET</t>
  </si>
  <si>
    <t>Monster ABSOLUTELY ZERO</t>
  </si>
  <si>
    <t>Monster HAMILTON ZERO</t>
  </si>
  <si>
    <t>Monster ULTRA FIESTA</t>
  </si>
  <si>
    <t>Monster ULTRA GOLD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</si>
  <si>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</si>
  <si>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</si>
  <si>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</si>
  <si>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</si>
  <si>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</si>
  <si>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</si>
  <si>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</si>
  <si>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</si>
  <si>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</si>
  <si>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</si>
  <si>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MANGO</t>
  </si>
  <si>
    <t>Monster MIXXD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</si>
  <si>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</si>
  <si>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</si>
  <si>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</si>
  <si>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</si>
  <si>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</si>
  <si>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</si>
  <si>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</si>
  <si>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</si>
  <si>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</si>
  <si>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</si>
  <si>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</si>
  <si>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</si>
  <si>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</si>
  <si>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</si>
  <si>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</si>
  <si>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</si>
  <si>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</si>
  <si>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</si>
  <si>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</si>
  <si>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VIKING BERRY JUICE Import USA</t>
  </si>
  <si>
    <t>0070847898320</t>
  </si>
  <si>
    <t>Monster DRAGON ICE TEA LEMON Import Brazil</t>
  </si>
  <si>
    <t>0070847034803</t>
  </si>
  <si>
    <t>Monster ULTRA WILD PASSION Import USA</t>
  </si>
  <si>
    <t>0070847899488</t>
  </si>
  <si>
    <t>Monster ELECTRIC BLUE Import USA</t>
  </si>
  <si>
    <t>0070847899334</t>
  </si>
  <si>
    <t>Monster ULTRA VICE GUAVA Import Canada</t>
  </si>
  <si>
    <t>0070847899174</t>
  </si>
  <si>
    <t>Monster JAVA IRISH CREME Import Canada</t>
  </si>
  <si>
    <t>44,4cl</t>
  </si>
  <si>
    <t>0070847898672</t>
  </si>
  <si>
    <t>Monster JAVA MEAN BEAN Import Canada</t>
  </si>
  <si>
    <t>0070847813064</t>
  </si>
  <si>
    <t>Monster JAVA MOCA LOCA Import Canada</t>
  </si>
  <si>
    <t>0070847813088</t>
  </si>
  <si>
    <t>Monster JAVA SALTED CARAMEL Import Canada</t>
  </si>
  <si>
    <t>0070847027249</t>
  </si>
  <si>
    <t>RED BULL</t>
  </si>
  <si>
    <t>RED BULL France</t>
  </si>
  <si>
    <t>Red Bull 25cl x 24</t>
  </si>
  <si>
    <t>Red Bull 25cl x 24 (6 packs de 4 x 25cl)</t>
  </si>
  <si>
    <t>uc 9002490205973 pack de 4: 9002490100490</t>
  </si>
  <si>
    <t>Red Bull 35,5cl x 24</t>
  </si>
  <si>
    <t>35,5cl</t>
  </si>
  <si>
    <t>Red Bull 35,5cl x 24 (6 packs de 4 x 35,5cl)</t>
  </si>
  <si>
    <t>uc 9002490210717 pack de 4: 9002490210779</t>
  </si>
  <si>
    <t>Red Bull 47,3cl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</si>
  <si>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</si>
  <si>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</si>
  <si>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</si>
  <si>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</si>
  <si>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</si>
  <si>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</si>
  <si>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SUMMER pêche blanche (fin de stock)</t>
  </si>
  <si>
    <t xml:space="preserve">Red Bull 25cl x 24 LILAC pamplemousse </t>
  </si>
  <si>
    <t>Red Bull 25cl x 24 SPRING pamplemousse</t>
  </si>
  <si>
    <t>Redbull Winter 2025 POMME FUJI GINGEMBRE</t>
  </si>
  <si>
    <t>Redbull ICE MURE GIVREE VANILLE</t>
  </si>
  <si>
    <t>9002490274641</t>
  </si>
  <si>
    <t>Redbull 25cl x 24 CERISE SAKURA spring edition</t>
  </si>
  <si>
    <t>Red Bull SANS SUCRE 25cl x 24</t>
  </si>
  <si>
    <t>Red Bull SANS SUCRE (6 packs de 4 x 25cl)</t>
  </si>
  <si>
    <t>uc 9002490208592 pack de 4: 9002490200381</t>
  </si>
  <si>
    <t>Red Bull SANS CALORIES 25cl x 24</t>
  </si>
  <si>
    <t>RED BULL Import SUIVI</t>
  </si>
  <si>
    <t>Red Bull TROPICAL 25cl x 24</t>
  </si>
  <si>
    <t>Red Bull PINK 25cl x 24</t>
  </si>
  <si>
    <t>0000090456237</t>
  </si>
  <si>
    <t>Red Bull LIME 25cl x 24</t>
  </si>
  <si>
    <t>0000090474477</t>
  </si>
  <si>
    <t>Red Bull PURPLE açaï 25cl x 24</t>
  </si>
  <si>
    <t>0000090454981</t>
  </si>
  <si>
    <t>Red Bull PECHE BLANCHE sugarfree</t>
  </si>
  <si>
    <t>0000090474538</t>
  </si>
  <si>
    <t xml:space="preserve">Red Bull RUBY </t>
  </si>
  <si>
    <t>0000090474088</t>
  </si>
  <si>
    <t xml:space="preserve">Red Bull BOUTEILLE VERRE </t>
  </si>
  <si>
    <t>9002490100056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</si>
  <si>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</si>
  <si>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</si>
  <si>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</si>
  <si>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</si>
  <si>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</si>
  <si>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</si>
  <si>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</si>
  <si>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</si>
  <si>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</si>
  <si>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CAFE Cold Brew Thailande</t>
  </si>
  <si>
    <t>Red Bull KYOHO raisin Import Japon</t>
  </si>
  <si>
    <t>Red Bull MUSCAT Import Japon</t>
  </si>
  <si>
    <t>ARIZONA energy</t>
  </si>
  <si>
    <t>ARIZONA MUCHO MANGO energy</t>
  </si>
  <si>
    <t>0613008768812</t>
  </si>
  <si>
    <t>ARIZONA WATERMELON energy</t>
  </si>
  <si>
    <t>0613008768843</t>
  </si>
  <si>
    <t>Ryu Blast</t>
  </si>
  <si>
    <t>RYU BLAST energy drink Fruit du Dragon &amp; Coco</t>
  </si>
  <si>
    <t>CARABAO energy drink</t>
  </si>
  <si>
    <t>Carabao Original</t>
  </si>
  <si>
    <t>CRAZY TIGER</t>
  </si>
  <si>
    <t>Crazy Tiger KISS ME canette</t>
  </si>
  <si>
    <t>Crazy Tiger Mini PET</t>
  </si>
  <si>
    <t>Crazy Tiger CERISE MIni PET</t>
  </si>
  <si>
    <t>Crazy Tiger TIKKY MANGO Mini PET</t>
  </si>
  <si>
    <t>Crazy Tiger PET</t>
  </si>
  <si>
    <t>Crazy Tiger CERISE PET</t>
  </si>
  <si>
    <t>Crazy Tiger TIKKY MANGO PET</t>
  </si>
  <si>
    <t>LES SOFTS</t>
  </si>
  <si>
    <t>POP'S DRINK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</si>
  <si>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</si>
  <si>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</si>
  <si>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</si>
  <si>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</si>
  <si>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</si>
  <si>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</si>
  <si>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</si>
  <si>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</si>
  <si>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</si>
  <si>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</si>
  <si>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</si>
  <si>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</si>
  <si>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</si>
  <si>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</si>
  <si>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</si>
  <si>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</si>
  <si>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</si>
  <si>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</si>
  <si>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</si>
  <si>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</si>
  <si>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</si>
  <si>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</si>
  <si>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</si>
  <si>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</si>
  <si>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</si>
  <si>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</si>
  <si>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</si>
  <si>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</si>
  <si>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</si>
  <si>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</si>
  <si>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</si>
  <si>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</si>
  <si>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</si>
  <si>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</si>
  <si>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</si>
  <si>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FREEZ Energy Drink</t>
  </si>
  <si>
    <t>0762571500203</t>
  </si>
  <si>
    <t>MATECITO</t>
  </si>
  <si>
    <t>Matecito Big Flo et Oli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</si>
  <si>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</si>
  <si>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</si>
  <si>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</si>
  <si>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</si>
  <si>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</si>
  <si>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</si>
  <si>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</si>
  <si>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</si>
  <si>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</si>
  <si>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</si>
  <si>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</si>
  <si>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</si>
  <si>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</si>
  <si>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BOISSONS DISNEY</t>
  </si>
  <si>
    <t>Boisson DISNEY Mickey</t>
  </si>
  <si>
    <t>45cl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</si>
  <si>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</si>
  <si>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</si>
  <si>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</si>
  <si>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</si>
  <si>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</si>
  <si>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</si>
  <si>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</si>
  <si>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</si>
  <si>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</si>
  <si>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</si>
  <si>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</si>
  <si>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</si>
  <si>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</si>
  <si>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</si>
  <si>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</si>
  <si>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</si>
  <si>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</si>
  <si>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</si>
  <si>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</si>
  <si>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</si>
  <si>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</si>
  <si>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</si>
  <si>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</si>
  <si>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</si>
  <si>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</si>
  <si>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</si>
  <si>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</t>
  </si>
  <si>
    <t>CALYPSO Island Wave</t>
  </si>
  <si>
    <t>0079581184058</t>
  </si>
  <si>
    <t>CALYPSO Kiwi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</si>
  <si>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</si>
  <si>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</si>
  <si>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</si>
  <si>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</si>
  <si>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</si>
  <si>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</si>
  <si>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</si>
  <si>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</si>
  <si>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</si>
  <si>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</si>
  <si>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</si>
  <si>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</si>
  <si>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</si>
  <si>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</si>
  <si>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</si>
  <si>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</si>
  <si>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</si>
  <si>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</si>
  <si>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</si>
  <si>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</si>
  <si>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</si>
  <si>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</si>
  <si>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</si>
  <si>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</si>
  <si>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</si>
  <si>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</si>
  <si>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PAGO POP Canette</t>
  </si>
  <si>
    <t>PAGO POP Abricot Basilic canette</t>
  </si>
  <si>
    <t>PAGO POP Citron Hibiscus canette</t>
  </si>
  <si>
    <t>PAGO POP Fraise Menthe canette</t>
  </si>
  <si>
    <t>PAGO POP Mangue Gingembre canette</t>
  </si>
  <si>
    <t>MOGU MOGU PET 32cl</t>
  </si>
  <si>
    <t>MOGU MOGU Ananas</t>
  </si>
  <si>
    <t>32cl</t>
  </si>
  <si>
    <t>MOGU MOGU Barbe à Papa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</si>
  <si>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</si>
  <si>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</si>
  <si>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</si>
  <si>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</si>
  <si>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</si>
  <si>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</si>
  <si>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</si>
  <si>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</si>
  <si>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</si>
  <si>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</si>
  <si>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</si>
  <si>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</si>
  <si>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</si>
  <si>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WARHEADS canette</t>
  </si>
  <si>
    <t>Warheads BLACK CHERRY</t>
  </si>
  <si>
    <t>Warheads BLUE RASPBERRY</t>
  </si>
  <si>
    <t>Warheads GREEN APPLE</t>
  </si>
  <si>
    <t>Warheads PEACH</t>
  </si>
  <si>
    <t>Warheads WATERMELON</t>
  </si>
  <si>
    <t>OCEAN BOMB canette</t>
  </si>
  <si>
    <t>OCEAN BOMB Goyave (KAKACHI) canette</t>
  </si>
  <si>
    <t>OCEAN BOMB Litchi (SAKURA) canette</t>
  </si>
  <si>
    <t>OCEAN BOMB Pamplemousse (SASUKE) canette</t>
  </si>
  <si>
    <t>OCEAN BOMB YUZU (NARUTO) canette</t>
  </si>
  <si>
    <t>RAMUNE PET</t>
  </si>
  <si>
    <t>Ramune ORIGINAL</t>
  </si>
  <si>
    <t>Ramune LITCHI</t>
  </si>
  <si>
    <t>Ramune MELON</t>
  </si>
  <si>
    <t>Ramune MYRTILLE</t>
  </si>
  <si>
    <t>Ramune SAKURA</t>
  </si>
  <si>
    <t>HATASODA</t>
  </si>
  <si>
    <t>Hatasoda LITCHI</t>
  </si>
  <si>
    <t>24</t>
  </si>
  <si>
    <t>Hatasoda ORIGINAL</t>
  </si>
  <si>
    <t>Hatasoda PASTEQUE</t>
  </si>
  <si>
    <t>Hatasoda PECHE</t>
  </si>
  <si>
    <t>25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</si>
  <si>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</si>
  <si>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</si>
  <si>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</si>
  <si>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</si>
  <si>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</si>
  <si>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</si>
  <si>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</si>
  <si>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</si>
  <si>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</si>
  <si>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</si>
  <si>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cola zéro canette</t>
  </si>
  <si>
    <t>DADA ice tea peach canette</t>
  </si>
  <si>
    <t>DADA lemon canette</t>
  </si>
  <si>
    <t>SKITTLES PET</t>
  </si>
  <si>
    <t>Skittles ORIGINAL PET</t>
  </si>
  <si>
    <t>41,4cl</t>
  </si>
  <si>
    <t>0850057068061</t>
  </si>
  <si>
    <t>Skittles SOUR PET</t>
  </si>
  <si>
    <t>0850057068047</t>
  </si>
  <si>
    <t>Skittles TROPICAL PET</t>
  </si>
  <si>
    <t>0850057068023</t>
  </si>
  <si>
    <t>Skittles WILD BERRY PET</t>
  </si>
  <si>
    <t>0850057068009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</si>
  <si>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</si>
  <si>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</si>
  <si>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</si>
  <si>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</si>
  <si>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</si>
  <si>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</si>
  <si>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</si>
  <si>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HALF&amp;HALF</t>
  </si>
  <si>
    <t>0613008734527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</si>
  <si>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</si>
  <si>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</si>
  <si>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</si>
  <si>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</si>
  <si>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</si>
  <si>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</si>
  <si>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</si>
  <si>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</si>
  <si>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</si>
  <si>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</si>
  <si>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GREEN TEA ZERO</t>
  </si>
  <si>
    <t>0613008734541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</si>
  <si>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</si>
  <si>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</si>
  <si>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</si>
  <si>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</si>
  <si>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</si>
  <si>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</si>
  <si>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</si>
  <si>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</si>
  <si>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</si>
  <si>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</si>
  <si>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</si>
  <si>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</si>
  <si>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</si>
  <si>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</si>
  <si>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</si>
  <si>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</si>
  <si>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</si>
  <si>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</si>
  <si>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</si>
  <si>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</si>
  <si>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</si>
  <si>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</si>
  <si>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</si>
  <si>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</si>
  <si>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</si>
  <si>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</si>
  <si>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</si>
  <si>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</si>
  <si>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</si>
  <si>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</si>
  <si>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</si>
  <si>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Capri-Sun GRENADE Cerise REFERMABLE</t>
  </si>
  <si>
    <t>uc 4000177172629</t>
  </si>
  <si>
    <t>Capri-Sun MANGUE PASSION REFERMABLE</t>
  </si>
  <si>
    <t>uc 4000177172650</t>
  </si>
  <si>
    <t>Capri-Sun MULTI VITAMINES REFERMABLE</t>
  </si>
  <si>
    <t>uc 4000177162323</t>
  </si>
  <si>
    <t>Capri-Sun ORANGE PÊCHE REFERMABLE</t>
  </si>
  <si>
    <t>uc 4000177155448</t>
  </si>
  <si>
    <t>VITAGO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</si>
  <si>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</si>
  <si>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</si>
  <si>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</si>
  <si>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</si>
  <si>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</si>
  <si>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</si>
  <si>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</si>
  <si>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</si>
  <si>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</si>
  <si>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</si>
  <si>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</si>
  <si>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</si>
  <si>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</si>
  <si>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LES CAFÉS FROIDS</t>
  </si>
  <si>
    <t>STARBUCKS Triple Shot Expresso 300ml</t>
  </si>
  <si>
    <t>30cl</t>
  </si>
  <si>
    <t>Go Chill COOKIES AND CREAM 230ml</t>
  </si>
  <si>
    <t>23cl</t>
  </si>
  <si>
    <t>Go Chill CAPPUCCINO 230ml</t>
  </si>
  <si>
    <t>Go Chill CAFFE LATTE 230ml</t>
  </si>
  <si>
    <t>Go Chill CARAMEL MACCHIATO 230ml</t>
  </si>
  <si>
    <t>LES CANETTES CLASSIQUES</t>
  </si>
  <si>
    <t>COCA COLA REGULAR canette</t>
  </si>
  <si>
    <t> 5449000214911</t>
  </si>
  <si>
    <t>COCA COLA ZERO canette</t>
  </si>
  <si>
    <t>COCA COLA CHERRY canette</t>
  </si>
  <si>
    <t>COCA COLA LEMON canette (4 packs 6 x 33cl)</t>
  </si>
  <si>
    <t xml:space="preserve">uc 05449000307590 pack 05449000343215
</t>
  </si>
  <si>
    <t>COCA COLA VANILLE canette (4 packs 6 x 33cl)</t>
  </si>
  <si>
    <t>5449000284617 pack 05449000310873</t>
  </si>
  <si>
    <t>COCA COLA CALORIES ZERO (6 packs 4x33cl)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</si>
  <si>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</si>
  <si>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</si>
  <si>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</si>
  <si>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</si>
  <si>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</si>
  <si>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</si>
  <si>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</si>
  <si>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</si>
  <si>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</si>
  <si>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</si>
  <si>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</si>
  <si>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</si>
  <si>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</si>
  <si>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</si>
  <si>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</si>
  <si>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</si>
  <si>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</si>
  <si>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</si>
  <si>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</si>
  <si>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</si>
  <si>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</si>
  <si>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</si>
  <si>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</si>
  <si>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</si>
  <si>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</si>
  <si>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Fruit Du Dragon canette</t>
  </si>
  <si>
    <t>FANTA Tropical Délice canette</t>
  </si>
  <si>
    <t>FANTA Tutti Frutti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</si>
  <si>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</si>
  <si>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</si>
  <si>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</si>
  <si>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</si>
  <si>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</si>
  <si>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</si>
  <si>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</si>
  <si>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</si>
  <si>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</si>
  <si>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</si>
  <si>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</si>
  <si>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</si>
  <si>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</si>
  <si>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</si>
  <si>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</si>
  <si>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</si>
  <si>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</si>
  <si>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</si>
  <si>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</si>
  <si>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</si>
  <si>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</si>
  <si>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</si>
  <si>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</si>
  <si>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</si>
  <si>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</si>
  <si>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</si>
  <si>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</si>
  <si>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3760293233987</t>
  </si>
  <si>
    <t>PANDA TEA citron (6 packs de 4 x 25cl)</t>
  </si>
  <si>
    <t>3760293234021</t>
  </si>
  <si>
    <t>San Pellegrino canette</t>
  </si>
  <si>
    <t>San Pellegrino Aranciata Rossa(4 packs 6x33cl) can.</t>
  </si>
  <si>
    <t>uc 8002270506802 pack 8002270506796</t>
  </si>
  <si>
    <t>San Pellegrino Limonata (4 packs 6x33cl) can.</t>
  </si>
  <si>
    <t>uc 8002270936777 pack 8002270936760</t>
  </si>
  <si>
    <t>San Pellegrino Limone &amp; Menta (4 packs 6x33cl) can.</t>
  </si>
  <si>
    <t>uc 8002270946783 pack 8002270946776</t>
  </si>
  <si>
    <t>San Pellegrino Melograno Arancia (4 packs 6x33cl) can.</t>
  </si>
  <si>
    <t>uc 8002270266805 pack 8002270266799</t>
  </si>
  <si>
    <t>LES BOISSONS IMPORTÉES (selon arrivages)</t>
  </si>
  <si>
    <t>COCA COLA bouteille Métal  Import Japon</t>
  </si>
  <si>
    <t>4902102038690</t>
  </si>
  <si>
    <t>COCA COLA Pêche canette Import Chine</t>
  </si>
  <si>
    <t>COCA COLA Fraise canette Import Chine</t>
  </si>
  <si>
    <t>FANTA Pêche Blanche bouteille métal Import Japon</t>
  </si>
  <si>
    <t>4902102144995</t>
  </si>
  <si>
    <t>FANTA Raisin bouteille métal Import Japon</t>
  </si>
  <si>
    <t>FANTA Jasmin Pêche canette Import Chine</t>
  </si>
  <si>
    <t>FANTA Pêche canette Import Chine</t>
  </si>
  <si>
    <t>FANTA Pomme canette Import Chine</t>
  </si>
  <si>
    <t>FANTA Raisin canette Import Chine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</si>
  <si>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</si>
  <si>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</si>
  <si>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</si>
  <si>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</si>
  <si>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Cherry Crush sugarfree Import UK</t>
  </si>
  <si>
    <t>5449000334237</t>
  </si>
  <si>
    <t>Dr PEPPER Cream soda Import USA</t>
  </si>
  <si>
    <t>0078000033489</t>
  </si>
  <si>
    <t>Dr PEPPER Vanilla float Import USA</t>
  </si>
  <si>
    <t>0078000023435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</si>
  <si>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</si>
  <si>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</si>
  <si>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</si>
  <si>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</si>
  <si>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</si>
  <si>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</si>
  <si>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</si>
  <si>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FANTA Watermelon. Import Chine</t>
  </si>
  <si>
    <t>6928804015454</t>
  </si>
  <si>
    <t>LIPTON Kombucha Fraise et Menthe Import UK</t>
  </si>
  <si>
    <t>LIPTON Kombucha Framboise Import UK</t>
  </si>
  <si>
    <t>LIPTON Kombucha Mangue Passion Import UK</t>
  </si>
  <si>
    <t>CHUPA CHUPS Sour Blueberry USA</t>
  </si>
  <si>
    <t>34,5cl</t>
  </si>
  <si>
    <t>CHUPA CHUPS Sour Green Apple USA</t>
  </si>
  <si>
    <t>MENTOS Berry Mix USA</t>
  </si>
  <si>
    <t>34cl</t>
  </si>
  <si>
    <t>MENTOS Salty Lychee USA</t>
  </si>
  <si>
    <t>MENTOS Tropical Mix USA</t>
  </si>
  <si>
    <t>OLD JAMAICA Ginger Beer Import UK</t>
  </si>
  <si>
    <t>CANADA DRY Cerise USA</t>
  </si>
  <si>
    <t>0000007844508</t>
  </si>
  <si>
    <t>AIR HEADS Soda Orange USA</t>
  </si>
  <si>
    <t>0860013906207</t>
  </si>
  <si>
    <t>AIR HEADS Soda Strawberry USA</t>
  </si>
  <si>
    <t>0860013906221</t>
  </si>
  <si>
    <t>AIR HEADS Soda Blue Raspberry USA</t>
  </si>
  <si>
    <t>0860013906238</t>
  </si>
  <si>
    <t>AIR HEADS Soda Watermelon USA</t>
  </si>
  <si>
    <t>0860013906214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</si>
  <si>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</si>
  <si>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</si>
  <si>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</si>
  <si>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</si>
  <si>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</si>
  <si>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</si>
  <si>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</si>
  <si>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</si>
  <si>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</si>
  <si>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</si>
  <si>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</si>
  <si>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</si>
  <si>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</si>
  <si>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</si>
  <si>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</si>
  <si>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</si>
  <si>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</si>
  <si>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</si>
  <si>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</si>
  <si>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</si>
  <si>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</si>
  <si>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</si>
  <si>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</si>
  <si>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FANTA Tutti Frutti zéro 50cl Import UE</t>
  </si>
  <si>
    <t>5449000334657</t>
  </si>
  <si>
    <t>ORANGINA PET 50cl</t>
  </si>
  <si>
    <t>PULCO PET 50cl</t>
  </si>
  <si>
    <t>SCHWEPPES Agrum' PET 50cl</t>
  </si>
  <si>
    <t>SPRITE PET 50cl</t>
  </si>
  <si>
    <t>SAN PELLEGRINO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</si>
  <si>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</si>
  <si>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</si>
  <si>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</si>
  <si>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</si>
  <si>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</si>
  <si>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</si>
  <si>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</si>
  <si>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</si>
  <si>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</si>
  <si>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</si>
  <si>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</si>
  <si>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</si>
  <si>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</si>
  <si>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</si>
  <si>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JOKER Vitamin Water Citron Citron Vert</t>
  </si>
  <si>
    <t xml:space="preserve">JOKER Vitamin Water Fraise Framboise </t>
  </si>
  <si>
    <t xml:space="preserve">JOKER Vitamin Water Pêche Passion 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</si>
  <si>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</si>
  <si>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</si>
  <si>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</si>
  <si>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</si>
  <si>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</si>
  <si>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</si>
  <si>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LORINA CITRONNADE PET</t>
  </si>
  <si>
    <t>42cl</t>
  </si>
  <si>
    <t>LORINA Diabolo Menthe PET</t>
  </si>
  <si>
    <t>LORINA Grenade PET</t>
  </si>
  <si>
    <t>LORINA Limonade PET</t>
  </si>
  <si>
    <t>LORINA Myrtille PET</t>
  </si>
  <si>
    <t>LORINA Pêche Blanche PET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</si>
  <si>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</si>
  <si>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</si>
  <si>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</si>
  <si>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</si>
  <si>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</si>
  <si>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</si>
  <si>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</si>
  <si>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</si>
  <si>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</si>
  <si>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</si>
  <si>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Berry PET</t>
  </si>
  <si>
    <t>12</t>
  </si>
  <si>
    <t>PRIME Lemon-Lime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</si>
  <si>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</si>
  <si>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</si>
  <si>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</si>
  <si>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</si>
  <si>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</si>
  <si>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</si>
  <si>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</si>
  <si>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</si>
  <si>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</si>
  <si>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</si>
  <si>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</si>
  <si>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VITAMIN WELL antioxydant PET</t>
  </si>
  <si>
    <t> 7350042711604</t>
  </si>
  <si>
    <t>VITAMIN WELL boost PET</t>
  </si>
  <si>
    <t>VITAMIN WELL hydrate PET</t>
  </si>
  <si>
    <t>VITAMIN WELL react PET</t>
  </si>
  <si>
    <t>VITAMIN WELL reload PET</t>
  </si>
  <si>
    <t>NOCCO</t>
  </si>
  <si>
    <t>Nocco LIMON DES SOL (BCAA)</t>
  </si>
  <si>
    <t>Nocco MANGUE (BCAA)</t>
  </si>
  <si>
    <t>Nocco PEACHANGO (BCAA+)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</si>
  <si>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</si>
  <si>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</si>
  <si>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</si>
  <si>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</si>
  <si>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</si>
  <si>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</si>
  <si>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</si>
  <si>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</si>
  <si>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</si>
  <si>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</si>
  <si>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</si>
  <si>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</si>
  <si>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</si>
  <si>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</si>
  <si>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</si>
  <si>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</si>
  <si>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</si>
  <si>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</si>
  <si>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</si>
  <si>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</si>
  <si>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</si>
  <si>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</si>
  <si>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</si>
  <si>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</si>
  <si>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</si>
  <si>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</si>
  <si>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</si>
  <si>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LORINA Limonade PET 1,25L</t>
  </si>
  <si>
    <t>LORINA Diabolo Grenadine PET 1L</t>
  </si>
  <si>
    <t>LORINA Diabolo Pêche Blanche PET 1L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</si>
  <si>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</si>
  <si>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</si>
  <si>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</si>
  <si>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</si>
  <si>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</si>
  <si>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</si>
  <si>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</si>
  <si>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</si>
  <si>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</si>
  <si>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</si>
  <si>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</si>
  <si>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</si>
  <si>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</si>
  <si>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</si>
  <si>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</si>
  <si>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</si>
  <si>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</si>
  <si>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</si>
  <si>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</si>
  <si>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4° canette</t>
  </si>
  <si>
    <t>Starberg 7° canette (fin de stock)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</si>
  <si>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</si>
  <si>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</si>
  <si>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</si>
  <si>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</si>
  <si>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</si>
  <si>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</si>
  <si>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</si>
  <si>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</si>
  <si>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</si>
  <si>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</si>
  <si>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</si>
  <si>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</si>
  <si>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</si>
  <si>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</si>
  <si>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Bavaria Original 8,6°canette</t>
  </si>
  <si>
    <t>Bavaria Original 8,6°canette (6 packs de 4 x 50cl)</t>
  </si>
  <si>
    <t>8714800035187/pack de 4: 8714800038461</t>
  </si>
  <si>
    <r>
      <rPr>
        <rFont val="Arial"/>
        <color theme="1"/>
        <sz val="7.0"/>
      </rPr>
      <t xml:space="preserve">Bavaria Original 8,6°canette </t>
    </r>
    <r>
      <rPr>
        <rFont val="Arial"/>
        <b/>
        <color theme="1"/>
        <sz val="7.0"/>
      </rPr>
      <t>BOX</t>
    </r>
    <r>
      <rPr>
        <rFont val="Arial"/>
        <color theme="1"/>
        <sz val="7.0"/>
      </rPr>
      <t xml:space="preserve"> de 96 packs (4 x 50cl)</t>
    </r>
  </si>
  <si>
    <t>4x50cl</t>
  </si>
  <si>
    <t>pack de 4: 8714800038461</t>
  </si>
  <si>
    <r>
      <rPr>
        <rFont val="Arial"/>
        <color theme="1"/>
        <sz val="7.0"/>
      </rPr>
      <t xml:space="preserve">Bavaria Original 8,6°canette </t>
    </r>
    <r>
      <rPr>
        <rFont val="Arial"/>
        <b/>
        <color theme="1"/>
        <sz val="7.0"/>
      </rPr>
      <t>BOX</t>
    </r>
    <r>
      <rPr>
        <rFont val="Arial"/>
        <color theme="1"/>
        <sz val="7.0"/>
      </rPr>
      <t xml:space="preserve"> 36 plat. de 18x50cl</t>
    </r>
  </si>
  <si>
    <t>18x50cl</t>
  </si>
  <si>
    <t>Bavaria Gold 6,5° canette</t>
  </si>
  <si>
    <t>Bavaria Amber 7,9° canette</t>
  </si>
  <si>
    <t>Bavaria IPA 7° canette</t>
  </si>
  <si>
    <t>Bavaria Black 7,9° canette</t>
  </si>
  <si>
    <t>Bavaria Extrême 10,5° canette</t>
  </si>
  <si>
    <t>Bavaria Cherry 7,2° canette</t>
  </si>
  <si>
    <t>Bavaria Cherry PACK (6 packs de 4 x 50cl)</t>
  </si>
  <si>
    <t>uc 8714800050098 pack de 4: 8714800052573</t>
  </si>
  <si>
    <t>Cornet Bière blonde Belge 8,5°</t>
  </si>
  <si>
    <t>Brewdog PUNK IPA 5,4° canette</t>
  </si>
  <si>
    <t>Heineken 5° canette (6 packs de 4 x 50cl)</t>
  </si>
  <si>
    <t>3119780268696/pack de 4: 3119780268801</t>
  </si>
  <si>
    <t>Heineken 5° canette (4 packs de 6 x 33cl)</t>
  </si>
  <si>
    <t>3119780259625/pack de 6: 3119780268054</t>
  </si>
  <si>
    <t>Desperados 5,9 ° canette (6 packs de 4 x 50cl)</t>
  </si>
  <si>
    <t>3119780266401/pack de 4: 3119780266418</t>
  </si>
  <si>
    <t>SMIRNOFF ICE 4°canette</t>
  </si>
  <si>
    <t>1664 5,5° canette (6 packs de 4 x 50cl)</t>
  </si>
  <si>
    <t>3080210003319/pack de 4: 3080210004446</t>
  </si>
  <si>
    <t>Kronenbourg 4,2° canette</t>
  </si>
  <si>
    <t>Kronenbourg 7,2° canette</t>
  </si>
  <si>
    <t>La Raoul 7° canette</t>
  </si>
  <si>
    <t>Delirium Tremens 8,5° canette</t>
  </si>
  <si>
    <t>Delirium RED 8°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</si>
  <si>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</si>
  <si>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</si>
  <si>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</si>
  <si>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</si>
  <si>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</si>
  <si>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</si>
  <si>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</si>
  <si>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12°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</si>
  <si>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</si>
  <si>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</si>
  <si>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</si>
  <si>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</si>
  <si>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</si>
  <si>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</si>
  <si>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</si>
  <si>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</si>
  <si>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</si>
  <si>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</si>
  <si>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Bon Poison SKULL ISLAND (neipa) 6°</t>
  </si>
  <si>
    <t>44cl</t>
  </si>
  <si>
    <t>Bon Poison DRAGON SPIRIT (double ipa) 7,6°</t>
  </si>
  <si>
    <t>Bon Poison GUARDIANS OF HOPS (white ipa) 5,3°</t>
  </si>
  <si>
    <t>Bon Poison SWEET KISS (framboise) 6°</t>
  </si>
  <si>
    <t>Bon Poison CHILLIN TIME (west coast ipa) 6°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</si>
  <si>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</si>
  <si>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</si>
  <si>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</si>
  <si>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</si>
  <si>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</si>
  <si>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</si>
  <si>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</si>
  <si>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</si>
  <si>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</si>
  <si>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</si>
  <si>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</si>
  <si>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</si>
  <si>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</si>
  <si>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</si>
  <si>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</si>
  <si>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</si>
  <si>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</si>
  <si>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</si>
  <si>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</si>
  <si>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</si>
  <si>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</si>
  <si>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</si>
  <si>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</si>
  <si>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</si>
  <si>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</si>
  <si>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</si>
  <si>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</si>
  <si>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</si>
  <si>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</si>
  <si>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</si>
  <si>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</si>
  <si>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</si>
  <si>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</si>
  <si>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Lindemans KRIEK 4,5° 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</si>
  <si>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</si>
  <si>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</si>
  <si>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</si>
  <si>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</si>
  <si>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</si>
  <si>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</si>
  <si>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</si>
  <si>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SMIRNOFF ICE 4° 70cl</t>
  </si>
  <si>
    <t>70cl</t>
  </si>
  <si>
    <t>3 MONTS 8,5° 75cl</t>
  </si>
  <si>
    <t>CH'TI blonde 6,4° 75cl</t>
  </si>
  <si>
    <t>Tripel Karmeliet 8,4° 75cl</t>
  </si>
  <si>
    <t>Bière KWAK 8,4° 75cl</t>
  </si>
  <si>
    <t>Bon Poison PODRICK Irish 'Amber' Ale (ambrée) 4,3°</t>
  </si>
  <si>
    <t>Bon Poison LUCKY DAY (ipa) 5,8°</t>
  </si>
  <si>
    <t>Bon Poison GOLD RUSH Golden Ale (blonde) 5,6°</t>
  </si>
  <si>
    <t>Bon Poison SUNNY SIDE White Ale (blanche) 4,8°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</si>
  <si>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</si>
  <si>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</si>
  <si>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</si>
  <si>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</si>
  <si>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</si>
  <si>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</si>
  <si>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</si>
  <si>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</si>
  <si>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Triple Secret des Moines blonde 8° 33cl</t>
  </si>
  <si>
    <t>Kasteel Rouge 8° 33cl</t>
  </si>
  <si>
    <t>Chimay Rouge 7° 33cl</t>
  </si>
  <si>
    <t>Chimay Bleue 9° 33cl</t>
  </si>
  <si>
    <t>BIÈRES VERRE: PACKS SUIVIS</t>
  </si>
  <si>
    <t>Bavaria 8,6° original VERRE (4 packs de 6 x 25cl)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</si>
  <si>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</si>
  <si>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</si>
  <si>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</si>
  <si>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</si>
  <si>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</si>
  <si>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</si>
  <si>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</si>
  <si>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</si>
  <si>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</si>
  <si>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</si>
  <si>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</si>
  <si>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</si>
  <si>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</si>
  <si>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</si>
  <si>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</si>
  <si>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</si>
  <si>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</si>
  <si>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</si>
  <si>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</si>
  <si>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</si>
  <si>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</si>
  <si>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</si>
  <si>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</si>
  <si>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</si>
  <si>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</si>
  <si>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</si>
  <si>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</si>
  <si>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</si>
  <si>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</si>
  <si>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</si>
  <si>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</si>
  <si>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</si>
  <si>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</si>
  <si>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</si>
  <si>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Leffe rituel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</si>
  <si>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</si>
  <si>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</si>
  <si>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</si>
  <si>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</si>
  <si>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</si>
  <si>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</si>
  <si>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</si>
  <si>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</si>
  <si>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</si>
  <si>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</si>
  <si>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3211209189800</t>
  </si>
  <si>
    <t>Lussac St-Emilion E.Reullier rouge</t>
  </si>
  <si>
    <t>3211200170470</t>
  </si>
  <si>
    <t>Saint-Emilion Grand Cru Cellier des Dieux rouge</t>
  </si>
  <si>
    <t>Saint-Estèphe Saint-Estèphe Château PLANTIER ROSE Cru Bourgois</t>
  </si>
  <si>
    <t>Sang-Mêlé rouge</t>
  </si>
  <si>
    <t>Démon Noir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</si>
  <si>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</si>
  <si>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</si>
  <si>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</si>
  <si>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</si>
  <si>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</si>
  <si>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</si>
  <si>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</si>
  <si>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</si>
  <si>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</si>
  <si>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Vacqueyras DELAS</t>
  </si>
  <si>
    <t>Crozes Hermitage DELAS Domaine des Grands Chemins</t>
  </si>
  <si>
    <t>3359950373113</t>
  </si>
  <si>
    <t>L'Enclos Minervois BIO rouge</t>
  </si>
  <si>
    <t>Lèche moi le grappe rouge</t>
  </si>
  <si>
    <t>La Belle Rouge BIO Minervois AOC</t>
  </si>
  <si>
    <t>Le Gros Rouge Qui Tâche Pays d'Hérault Alicante-Syrah</t>
  </si>
  <si>
    <t>Cahors Little Fuck 100% Malbec</t>
  </si>
  <si>
    <t>La Closerie du Banquier 500 francs rouge</t>
  </si>
  <si>
    <t>Sélection Vin Rosé</t>
  </si>
  <si>
    <t>LEOS Patrick BRUEL rosé</t>
  </si>
  <si>
    <t>Puech Haut PREMIERE rosé</t>
  </si>
  <si>
    <t xml:space="preserve">Puech Haut ARGALI rosé </t>
  </si>
  <si>
    <t>Pays d'Oc La Closerie du Banquier 50 francs rosé</t>
  </si>
  <si>
    <t>IGP Ile de Beauté</t>
  </si>
  <si>
    <t>Corse AOP</t>
  </si>
  <si>
    <t>Rosato delle Venezie rosé</t>
  </si>
  <si>
    <t>Listel gris rosé</t>
  </si>
  <si>
    <t>Rosé GARCIA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</si>
  <si>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</si>
  <si>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</si>
  <si>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</si>
  <si>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</si>
  <si>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</si>
  <si>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Sélection Vin Rosé PROVENCE</t>
  </si>
  <si>
    <t>Côtes de Provence Les Rozallées AOP rosé</t>
  </si>
  <si>
    <t>CRAZY TROPEZ Méditerranée rosé</t>
  </si>
  <si>
    <t>WHITE TROPEZ Côtes de Provence rosé !2022! Promo</t>
  </si>
  <si>
    <t>M de MINUTY Côtes de Provence rosé</t>
  </si>
  <si>
    <t>MIRAVAL Provence rosé</t>
  </si>
  <si>
    <t>STUDIO By MIRAVAL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</si>
  <si>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</si>
  <si>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</si>
  <si>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</si>
  <si>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</si>
  <si>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</si>
  <si>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</si>
  <si>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</si>
  <si>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</si>
  <si>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</si>
  <si>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</si>
  <si>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</si>
  <si>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</si>
  <si>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</si>
  <si>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</si>
  <si>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</si>
  <si>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</si>
  <si>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</si>
  <si>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</si>
  <si>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</si>
  <si>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</si>
  <si>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</si>
  <si>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</si>
  <si>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</si>
  <si>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</si>
  <si>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</si>
  <si>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</si>
  <si>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</si>
  <si>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Eléphant Lubéron rosé</t>
  </si>
  <si>
    <t>Fourmi Rouge Ventoux rouge</t>
  </si>
  <si>
    <t>BALADE DE COLINE</t>
  </si>
  <si>
    <t>IGP Méditerranée rosé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</si>
  <si>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</si>
  <si>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</si>
  <si>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</si>
  <si>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</si>
  <si>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</si>
  <si>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</si>
  <si>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</si>
  <si>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</si>
  <si>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</si>
  <si>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</si>
  <si>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</si>
  <si>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</si>
  <si>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</si>
  <si>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</si>
  <si>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</si>
  <si>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</si>
  <si>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</si>
  <si>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</si>
  <si>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</si>
  <si>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</si>
  <si>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</si>
  <si>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</si>
  <si>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</si>
  <si>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</si>
  <si>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</si>
  <si>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</si>
  <si>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</si>
  <si>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</si>
  <si>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</si>
  <si>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</si>
  <si>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</si>
  <si>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</si>
  <si>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</si>
  <si>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</si>
  <si>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</si>
  <si>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</si>
  <si>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</si>
  <si>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</si>
  <si>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</si>
  <si>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</si>
  <si>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</si>
  <si>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VIN VERY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</si>
  <si>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</si>
  <si>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</si>
  <si>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</si>
  <si>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</si>
  <si>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</si>
  <si>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</si>
  <si>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</si>
  <si>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</si>
  <si>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</si>
  <si>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</si>
  <si>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</si>
  <si>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</si>
  <si>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</si>
  <si>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</si>
  <si>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Tariquet Rosé de préssée</t>
  </si>
  <si>
    <t>Tariquet Réserve</t>
  </si>
  <si>
    <t>UBY N°</t>
  </si>
  <si>
    <t>UBY N°3 blanc sec</t>
  </si>
  <si>
    <t>UBY N°4 blanc fruité</t>
  </si>
  <si>
    <t>UBY TORTUE</t>
  </si>
  <si>
    <t>UBY TORTUE rosé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</si>
  <si>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</si>
  <si>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</si>
  <si>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</si>
  <si>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</si>
  <si>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</si>
  <si>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</si>
  <si>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</si>
  <si>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</si>
  <si>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</si>
  <si>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</si>
  <si>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</si>
  <si>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</si>
  <si>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</si>
  <si>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</si>
  <si>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</si>
  <si>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</si>
  <si>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</si>
  <si>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</si>
  <si>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</si>
  <si>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</si>
  <si>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</si>
  <si>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</si>
  <si>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</si>
  <si>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</si>
  <si>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</si>
  <si>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</si>
  <si>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</si>
  <si>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</si>
  <si>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</si>
  <si>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</si>
  <si>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</si>
  <si>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</si>
  <si>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</si>
  <si>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</si>
  <si>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</si>
  <si>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</si>
  <si>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</si>
  <si>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</si>
  <si>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</si>
  <si>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</si>
  <si>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</si>
  <si>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</si>
  <si>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</si>
  <si>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Brut</t>
  </si>
  <si>
    <t>Champagne MOET et CHANDON Rosé</t>
  </si>
  <si>
    <t>Champagne MOET et CHANDON Ice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</si>
  <si>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</si>
  <si>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</si>
  <si>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</si>
  <si>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</si>
  <si>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</si>
  <si>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</si>
  <si>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</si>
  <si>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</si>
  <si>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</si>
  <si>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</si>
  <si>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</si>
  <si>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</si>
  <si>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</si>
  <si>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</si>
  <si>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</si>
  <si>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</si>
  <si>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</si>
  <si>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</si>
  <si>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</si>
  <si>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</si>
  <si>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</si>
  <si>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</si>
  <si>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</si>
  <si>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</si>
  <si>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</si>
  <si>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</si>
  <si>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</si>
  <si>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</si>
  <si>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</si>
  <si>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</si>
  <si>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</si>
  <si>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</si>
  <si>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</si>
  <si>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</si>
  <si>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</si>
  <si>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</si>
  <si>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</si>
  <si>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</si>
  <si>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</si>
  <si>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</si>
  <si>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</si>
  <si>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</si>
  <si>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</si>
  <si>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</si>
  <si>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</si>
  <si>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</si>
  <si>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</si>
  <si>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</si>
  <si>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</si>
  <si>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</si>
  <si>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</si>
  <si>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</si>
  <si>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</si>
  <si>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</si>
  <si>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</si>
  <si>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</si>
  <si>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</si>
  <si>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</si>
  <si>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</si>
  <si>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</si>
  <si>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</si>
  <si>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</si>
  <si>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</si>
  <si>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</si>
  <si>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</si>
  <si>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</si>
  <si>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</si>
  <si>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</si>
  <si>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</si>
  <si>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</si>
  <si>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</si>
  <si>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</si>
  <si>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</si>
  <si>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</si>
  <si>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</si>
  <si>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</si>
  <si>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</si>
  <si>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</si>
  <si>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</si>
  <si>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</si>
  <si>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</si>
  <si>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</si>
  <si>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</si>
  <si>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BARBECUE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</si>
  <si>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</si>
  <si>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</si>
  <si>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</si>
  <si>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</si>
  <si>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</si>
  <si>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</si>
  <si>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</si>
  <si>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</si>
  <si>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</si>
  <si>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</si>
  <si>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</si>
  <si>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</si>
  <si>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</si>
  <si>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</si>
  <si>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</si>
  <si>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</si>
  <si>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</si>
  <si>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</si>
  <si>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</si>
  <si>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</si>
  <si>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</si>
  <si>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</si>
  <si>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</si>
  <si>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</si>
  <si>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</si>
  <si>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</si>
  <si>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</si>
  <si>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CHEDDAR BIERE</t>
  </si>
  <si>
    <t>Bret's KEBAB</t>
  </si>
  <si>
    <t>Bret's ALIGOT à L'AVEYRONNAISE</t>
  </si>
  <si>
    <t>Bret's MOUTARDE au PIMENT de CAYENNE</t>
  </si>
  <si>
    <t>Bret's FALAFELS à la LIBANAISE</t>
  </si>
  <si>
    <t>Bret's ROTISSERIE</t>
  </si>
  <si>
    <t>120g</t>
  </si>
  <si>
    <t>Bret's AIL et HERBES de PROVENCE rotisserie</t>
  </si>
  <si>
    <t>Bret's NATURE BIO</t>
  </si>
  <si>
    <t>100g</t>
  </si>
  <si>
    <t>Bret's SARRASIN</t>
  </si>
  <si>
    <t>Bret's TRUFFE D'ÉTÉ millésime</t>
  </si>
  <si>
    <t>130g</t>
  </si>
  <si>
    <t>Chips LAY'S</t>
  </si>
  <si>
    <t>Lay's CHEESEBURGER</t>
  </si>
  <si>
    <t>Lay's CREME OIGNON</t>
  </si>
  <si>
    <t>Lay's CHAMPIGNON AIL paysanne</t>
  </si>
  <si>
    <t>Lay's FROMAGE AIL HERBES paysanne</t>
  </si>
  <si>
    <t>Lay's FROMAGE JURA paysanne</t>
  </si>
  <si>
    <t>Lay's OSSAU IRATY TOMATE paysanne</t>
  </si>
  <si>
    <t>Lay's OIGNONS DE ROSCOFF CARAMÉLISÉS paysanne</t>
  </si>
  <si>
    <t>Lay's POULET MOUTARDE MIEL paysanne</t>
  </si>
  <si>
    <t>Lay's TAPENADE paysanne</t>
  </si>
  <si>
    <t>Lay's VINAIGRE de CIDRE SEL paysanne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</si>
  <si>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</si>
  <si>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</si>
  <si>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</si>
  <si>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</si>
  <si>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</si>
  <si>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</si>
  <si>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</si>
  <si>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</si>
  <si>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</si>
  <si>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</si>
  <si>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</si>
  <si>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</si>
  <si>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</si>
  <si>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</si>
  <si>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</si>
  <si>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</si>
  <si>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</si>
  <si>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</si>
  <si>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</si>
  <si>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</si>
  <si>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</si>
  <si>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</si>
  <si>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</si>
  <si>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</si>
  <si>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</si>
  <si>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</si>
  <si>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</si>
  <si>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</si>
  <si>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</si>
  <si>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</si>
  <si>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</si>
  <si>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</si>
  <si>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</si>
  <si>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</si>
  <si>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</si>
  <si>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</si>
  <si>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</si>
  <si>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</si>
  <si>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</si>
  <si>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</si>
  <si>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</si>
  <si>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</si>
  <si>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</si>
  <si>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</si>
  <si>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</si>
  <si>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</si>
  <si>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</si>
  <si>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</si>
  <si>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</si>
  <si>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</si>
  <si>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</si>
  <si>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</si>
  <si>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</si>
  <si>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</si>
  <si>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</si>
  <si>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</si>
  <si>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</si>
  <si>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</si>
  <si>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</si>
  <si>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</si>
  <si>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</si>
  <si>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</si>
  <si>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</si>
  <si>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Buldak RAMEN Poulet Braisé (8 lots de 5)</t>
  </si>
  <si>
    <t>145g</t>
  </si>
  <si>
    <t>Buldak RAMEN Poulet Carbo (8 lots de 5)</t>
  </si>
  <si>
    <t>Buldak RAMEN Poulet Cheese (8 lots de 5)</t>
  </si>
  <si>
    <t>140g</t>
  </si>
  <si>
    <t>Buldak RAMEN Poulet Piquant (8 lots de 5)</t>
  </si>
  <si>
    <t>Buldak RAMEN Poulet Extra Piquant (8 lots de 5)</t>
  </si>
  <si>
    <t>Buldak RAMEN Poulet Habanero Lime Piquant (8x5)</t>
  </si>
  <si>
    <t>40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</si>
  <si>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</si>
  <si>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</si>
  <si>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</si>
  <si>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</si>
  <si>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</si>
  <si>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</si>
  <si>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 xml:space="preserve">Buldak BOWL Poulet braisé </t>
  </si>
  <si>
    <t>105g</t>
  </si>
  <si>
    <t>16</t>
  </si>
  <si>
    <t>Buldak BOWL Poulet piquan</t>
  </si>
  <si>
    <t xml:space="preserve">Buldak BOWL Poulet extra piquant </t>
  </si>
  <si>
    <t>BULDAK Snacks</t>
  </si>
  <si>
    <t xml:space="preserve">Buldak SNACKS Zzalduk </t>
  </si>
  <si>
    <t>RAMEN Soja Caramel</t>
  </si>
  <si>
    <t>170g</t>
  </si>
  <si>
    <t>RAMEN Bœuf</t>
  </si>
  <si>
    <t>Topokki gâteau de riz Épicé</t>
  </si>
  <si>
    <t>Topokki gâteau de riz Sucré</t>
  </si>
  <si>
    <t>Topokki gâteau de riz Jjajang</t>
  </si>
  <si>
    <t>Topokki SAMYANG poulet piquant (buldak)</t>
  </si>
  <si>
    <t>185g</t>
  </si>
  <si>
    <t>Nouilles aux Œufs</t>
  </si>
  <si>
    <t>250g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</si>
  <si>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</si>
  <si>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</si>
  <si>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</si>
  <si>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</si>
  <si>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</si>
  <si>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</si>
  <si>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</si>
  <si>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</si>
  <si>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</si>
  <si>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</si>
  <si>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</si>
  <si>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</si>
  <si>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</si>
  <si>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</si>
  <si>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</si>
  <si>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</si>
  <si>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</si>
  <si>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</si>
  <si>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Mont ASIE Hot Chili Sriracha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</si>
  <si>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</si>
  <si>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</si>
  <si>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</si>
  <si>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</si>
  <si>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</si>
  <si>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</si>
  <si>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</si>
  <si>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</si>
  <si>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</si>
  <si>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</si>
  <si>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</si>
  <si>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</si>
  <si>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</si>
  <si>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</si>
  <si>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</si>
  <si>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mini Azuki yuki &amp; love140g</t>
  </si>
  <si>
    <t>MOCHI mini Thé Vert 140g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</si>
  <si>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</si>
  <si>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</si>
  <si>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</si>
  <si>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</si>
  <si>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</si>
  <si>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</si>
  <si>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</si>
  <si>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</si>
  <si>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</si>
  <si>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</si>
  <si>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</si>
  <si>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</si>
  <si>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</si>
  <si>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</si>
  <si>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</si>
  <si>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JACK LINKS ORIGINAL avec cravate Import USA</t>
  </si>
  <si>
    <t>25g</t>
  </si>
  <si>
    <t>JACKS LINKS SWEET AND HOT avec cravate Import USA</t>
  </si>
  <si>
    <t>JACK LINKS TERIAKY avec cravate Import USA</t>
  </si>
  <si>
    <t>Jack Links feat Mr Beast JERKY Original Import USA</t>
  </si>
  <si>
    <t>40g</t>
  </si>
  <si>
    <t>Jack Links feat Mr Beast TERIYAKI Import USA</t>
  </si>
  <si>
    <t xml:space="preserve">BIFI 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</si>
  <si>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</si>
  <si>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</si>
  <si>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</si>
  <si>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</si>
  <si>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</si>
  <si>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</si>
  <si>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</si>
  <si>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</si>
  <si>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</si>
  <si>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</si>
  <si>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</si>
  <si>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</si>
  <si>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</si>
  <si>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</si>
  <si>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</si>
  <si>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</si>
  <si>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</si>
  <si>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</si>
  <si>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</si>
  <si>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</si>
  <si>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</si>
  <si>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</si>
  <si>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</t>
  </si>
  <si>
    <t>Pâtes à tartiner NELLA DELICE</t>
  </si>
  <si>
    <t>NELLA DELICE pâte à tartiner crème noisette</t>
  </si>
  <si>
    <t>700g</t>
  </si>
  <si>
    <t>NELLA DELICE crème de Pistache</t>
  </si>
  <si>
    <t>200g</t>
  </si>
  <si>
    <t>NELLA DELICE éclats Kadaif Kunafa crème de Pistache</t>
  </si>
  <si>
    <t>Pâtes à tartiner BUENOS DIAS</t>
  </si>
  <si>
    <t>Buenos Dias pâte à tartiner crème noisette</t>
  </si>
  <si>
    <t>350g</t>
  </si>
  <si>
    <t>Buenos Dias pâte à tartiner crème noisette + bâtonnets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</si>
  <si>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</si>
  <si>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</si>
  <si>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</si>
  <si>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</si>
  <si>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</si>
  <si>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</si>
  <si>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</si>
  <si>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</si>
  <si>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</si>
  <si>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</si>
  <si>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</si>
  <si>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</si>
  <si>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</si>
  <si>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</si>
  <si>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</si>
  <si>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</si>
  <si>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</si>
  <si>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</si>
  <si>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</si>
  <si>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</si>
  <si>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</si>
  <si>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</si>
  <si>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</si>
  <si>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</si>
  <si>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</si>
  <si>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Chocolat au Lait Angel's Hair Pastislove</t>
  </si>
  <si>
    <t>Chocolat Blanc Crème Pistache Angel's Hair Pastislove</t>
  </si>
  <si>
    <t>Chocolat Blanc FRAMBOISE Crème Pistache Angel's Hair Pastislove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</si>
  <si>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</si>
  <si>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</si>
  <si>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</si>
  <si>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</si>
  <si>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</si>
  <si>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TOFFIFEE Biscuits Caramel Nougat Chocolat</t>
  </si>
  <si>
    <t>4014400400007</t>
  </si>
  <si>
    <t>MR TOM Barre aux cacahuètes</t>
  </si>
  <si>
    <t>4021700800055</t>
  </si>
  <si>
    <t>SUNDY Barre Chocolatée  36g</t>
  </si>
  <si>
    <t>36g</t>
  </si>
  <si>
    <t>SUNDY Barre Peanut 36g</t>
  </si>
  <si>
    <t>PIC NIC BREAK 50g pâte à tartiner+ biscuits</t>
  </si>
  <si>
    <t>50g</t>
  </si>
  <si>
    <t>8032880800434</t>
  </si>
  <si>
    <t>BISCUITS HELLO PANDA</t>
  </si>
  <si>
    <t>HELLO PANDA Chocolat</t>
  </si>
  <si>
    <t>HELLO PANDA Fraise</t>
  </si>
  <si>
    <t>HELLO PANDA Lait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</si>
  <si>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</si>
  <si>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</si>
  <si>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</si>
  <si>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</si>
  <si>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</si>
  <si>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</si>
  <si>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</si>
  <si>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</si>
  <si>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</si>
  <si>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</si>
  <si>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</si>
  <si>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</si>
  <si>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</si>
  <si>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</si>
  <si>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</si>
  <si>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</si>
  <si>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</si>
  <si>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</si>
  <si>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</si>
  <si>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</si>
  <si>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</si>
  <si>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</si>
  <si>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</si>
  <si>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</si>
  <si>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</si>
  <si>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</si>
  <si>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</si>
  <si>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</si>
  <si>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</si>
  <si>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</si>
  <si>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</si>
  <si>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</si>
  <si>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</si>
  <si>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</si>
  <si>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 xml:space="preserve"> 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</si>
  <si>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</si>
  <si>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</si>
  <si>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</si>
  <si>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</si>
  <si>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</si>
  <si>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</si>
  <si>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</si>
  <si>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</t>
  </si>
  <si>
    <t>Reese's PEANUT BUTTER x 2 cups</t>
  </si>
  <si>
    <t>39,5g</t>
  </si>
  <si>
    <t>0034000442959</t>
  </si>
  <si>
    <t>TOGOLO</t>
  </si>
  <si>
    <t>MAIS Grillé Salé</t>
  </si>
  <si>
    <t>Gâteaux  POCKY</t>
  </si>
  <si>
    <t>POCKY Chocolate</t>
  </si>
  <si>
    <t>POCKY Cookies &amp; Cream</t>
  </si>
  <si>
    <t>POCKY Double Choco</t>
  </si>
  <si>
    <t>POCKY Green Tea Matcha</t>
  </si>
  <si>
    <t>33g</t>
  </si>
  <si>
    <t>POCKY Strawberry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</si>
  <si>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</si>
  <si>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</si>
  <si>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</si>
  <si>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</si>
  <si>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</si>
  <si>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</si>
  <si>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</si>
  <si>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</si>
  <si>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</si>
  <si>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</si>
  <si>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</si>
  <si>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BONBONS FINI HALAL petits sachets</t>
  </si>
  <si>
    <t>BANANAS Halal</t>
  </si>
  <si>
    <t>BEANS Fizz Halal</t>
  </si>
  <si>
    <t>85g</t>
  </si>
  <si>
    <t>8410525275197</t>
  </si>
  <si>
    <t>BERRIES Mûres et Frambroises Halal 12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</si>
  <si>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</si>
  <si>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</si>
  <si>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</si>
  <si>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</si>
  <si>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</si>
  <si>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</si>
  <si>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</si>
  <si>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</si>
  <si>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</si>
  <si>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</si>
  <si>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</si>
  <si>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</si>
  <si>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</si>
  <si>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</si>
  <si>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</si>
  <si>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</si>
  <si>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</si>
  <si>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</si>
  <si>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</si>
  <si>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</si>
  <si>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</si>
  <si>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</si>
  <si>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</si>
  <si>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</si>
  <si>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</si>
  <si>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</si>
  <si>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</si>
  <si>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</si>
  <si>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</si>
  <si>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</si>
  <si>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</si>
  <si>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</si>
  <si>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DROPS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</si>
  <si>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</si>
  <si>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</si>
  <si>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</si>
  <si>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</si>
  <si>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</si>
  <si>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</si>
  <si>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</si>
  <si>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</si>
  <si>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</si>
  <si>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</si>
  <si>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</si>
  <si>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</si>
  <si>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</si>
  <si>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</si>
  <si>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</si>
  <si>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</si>
  <si>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</si>
  <si>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</si>
  <si>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</si>
  <si>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</si>
  <si>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</si>
  <si>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</si>
  <si>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</si>
  <si>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</si>
  <si>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</si>
  <si>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</si>
  <si>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</si>
  <si>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</si>
  <si>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</si>
  <si>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</si>
  <si>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</si>
  <si>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</si>
  <si>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</si>
  <si>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</si>
  <si>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</si>
  <si>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</si>
  <si>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</si>
  <si>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</si>
  <si>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</si>
  <si>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</si>
  <si>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</si>
  <si>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</si>
  <si>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</si>
  <si>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</si>
  <si>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</si>
  <si>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</si>
  <si>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</si>
  <si>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</si>
  <si>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</si>
  <si>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</si>
  <si>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</si>
  <si>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</si>
  <si>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</si>
  <si>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</si>
  <si>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</si>
  <si>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</si>
  <si>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</si>
  <si>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</si>
  <si>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</si>
  <si>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</si>
  <si>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</si>
  <si>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</si>
  <si>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</si>
  <si>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</si>
  <si>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</si>
  <si>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</si>
  <si>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</si>
  <si>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</si>
  <si>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</si>
  <si>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</si>
  <si>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</si>
  <si>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</si>
  <si>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BEANS BOOZLED USA Jelly Belly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</si>
  <si>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</si>
  <si>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</si>
  <si>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</si>
  <si>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</si>
  <si>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</si>
  <si>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</si>
  <si>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</si>
  <si>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</si>
  <si>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</si>
  <si>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</si>
  <si>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</si>
  <si>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BIG BURGER Trolli DISPLAY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</si>
  <si>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</si>
  <si>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</si>
  <si>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</si>
  <si>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</si>
  <si>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</si>
  <si>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</si>
  <si>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</si>
  <si>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</si>
  <si>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</si>
  <si>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</si>
  <si>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</si>
  <si>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</si>
  <si>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</si>
  <si>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</si>
  <si>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</si>
  <si>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</si>
  <si>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</si>
  <si>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</si>
  <si>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</si>
  <si>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</si>
  <si>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</si>
  <si>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</si>
  <si>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</si>
  <si>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</si>
  <si>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</si>
  <si>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</si>
  <si>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</si>
  <si>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</si>
  <si>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</si>
  <si>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</si>
  <si>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</si>
  <si>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</si>
  <si>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</si>
  <si>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</si>
  <si>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</si>
  <si>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</si>
  <si>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</si>
  <si>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</si>
  <si>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</si>
  <si>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</si>
  <si>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</si>
  <si>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</si>
  <si>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</si>
  <si>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RÉGLISSE</t>
  </si>
  <si>
    <t>Bâton Réglisse Noire DISPLAY</t>
  </si>
  <si>
    <t>WERTHER'S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</si>
  <si>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</si>
  <si>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</si>
  <si>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</si>
  <si>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</si>
  <si>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</si>
  <si>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Werther's Original POP CORN sachet 140g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</si>
  <si>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</si>
  <si>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</si>
  <si>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</si>
  <si>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</si>
  <si>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</si>
  <si>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</si>
  <si>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</si>
  <si>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</si>
  <si>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</si>
  <si>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</si>
  <si>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</si>
  <si>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</si>
  <si>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</si>
  <si>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</si>
  <si>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</si>
  <si>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</si>
  <si>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</si>
  <si>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</si>
  <si>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</si>
  <si>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</si>
  <si>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</si>
  <si>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</si>
  <si>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</si>
  <si>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</si>
  <si>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</si>
  <si>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</si>
  <si>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</si>
  <si>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</si>
  <si>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</si>
  <si>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</si>
  <si>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</si>
  <si>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</si>
  <si>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</si>
  <si>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</si>
  <si>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</si>
  <si>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</si>
  <si>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</si>
  <si>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</si>
  <si>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</si>
  <si>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</si>
  <si>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</si>
  <si>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</si>
  <si>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</si>
  <si>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</si>
  <si>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</si>
  <si>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</si>
  <si>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</si>
  <si>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</si>
  <si>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</si>
  <si>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</si>
  <si>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</si>
  <si>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</si>
  <si>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</si>
  <si>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</si>
  <si>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</si>
  <si>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</si>
  <si>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</si>
  <si>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</si>
  <si>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</si>
  <si>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</si>
  <si>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</si>
  <si>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</si>
  <si>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</si>
  <si>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</si>
  <si>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</si>
  <si>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</si>
  <si>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</si>
  <si>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</si>
  <si>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</si>
  <si>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</si>
  <si>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Grinders magnétiques display 16</t>
  </si>
  <si>
    <t>Grinders magnétiques display 24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</si>
  <si>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</si>
  <si>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</si>
  <si>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</si>
  <si>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</si>
  <si>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</si>
  <si>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</si>
  <si>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</si>
  <si>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</si>
  <si>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</si>
  <si>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</si>
  <si>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</si>
  <si>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</si>
  <si>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</si>
  <si>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</si>
  <si>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</si>
  <si>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</si>
  <si>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LR06 (AA) Longlife Power x4 (réf.5)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</si>
  <si>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</si>
  <si>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</si>
  <si>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</si>
  <si>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</si>
  <si>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</si>
  <si>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</si>
  <si>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</si>
  <si>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</si>
  <si>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</si>
  <si>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</si>
  <si>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</si>
  <si>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</si>
  <si>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</si>
  <si>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</si>
  <si>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</si>
  <si>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</si>
  <si>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</si>
  <si>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</si>
  <si>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</si>
  <si>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</si>
  <si>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</si>
  <si>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</si>
  <si>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</si>
  <si>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</si>
  <si>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</si>
  <si>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</si>
  <si>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</si>
  <si>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</si>
  <si>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</si>
  <si>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</si>
  <si>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</si>
  <si>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</si>
  <si>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</si>
  <si>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</si>
  <si>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</si>
  <si>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</si>
  <si>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</si>
  <si>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</si>
  <si>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</si>
  <si>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</si>
  <si>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</si>
  <si>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</si>
  <si>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</si>
  <si>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</si>
  <si>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</si>
  <si>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</si>
  <si>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</si>
  <si>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</si>
  <si>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</si>
  <si>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</si>
  <si>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</si>
  <si>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</si>
  <si>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</si>
  <si>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</si>
  <si>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</si>
  <si>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</si>
  <si>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</si>
  <si>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</si>
  <si>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</si>
  <si>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</si>
  <si>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</si>
  <si>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</si>
  <si>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Téléphone Sim+10€ crédit prépayé (réf.W23)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</si>
  <si>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</si>
  <si>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</si>
  <si>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</si>
  <si>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</si>
  <si>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</si>
  <si>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</si>
  <si>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</si>
  <si>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</si>
  <si>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</si>
  <si>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</si>
  <si>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ACCESOIRES VOITURE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</si>
  <si>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</si>
  <si>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</si>
  <si>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</si>
  <si>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</si>
  <si>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</si>
  <si>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</si>
  <si>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</si>
  <si>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</si>
  <si>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</si>
  <si>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</si>
  <si>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</si>
  <si>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</si>
  <si>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</si>
  <si>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</si>
  <si>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</si>
  <si>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</si>
  <si>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</si>
  <si>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</si>
  <si>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</si>
  <si>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</si>
  <si>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</si>
  <si>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6977704950747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</si>
  <si>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</si>
  <si>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</si>
  <si>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</si>
  <si>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</si>
  <si>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</si>
  <si>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</si>
  <si>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</si>
  <si>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</si>
  <si>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</si>
  <si>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</si>
  <si>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</si>
  <si>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</si>
  <si>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</si>
  <si>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</si>
  <si>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</si>
  <si>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</si>
  <si>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</si>
  <si>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</si>
  <si>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</si>
  <si>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</si>
  <si>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</si>
  <si>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</si>
  <si>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</si>
  <si>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</si>
  <si>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</si>
  <si>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</si>
  <si>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</si>
  <si>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</si>
  <si>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</si>
  <si>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</si>
  <si>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</si>
  <si>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</si>
  <si>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</si>
  <si>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</si>
  <si>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TOTAL COLIS COMMANDÉS</t>
  </si>
  <si>
    <t>TOTAL POINTS FIDÉLITÉS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</si>
</sst>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"/>
    <numFmt numFmtId="165" formatCode="0.0"/>
    <numFmt numFmtId="166" formatCode="0.000"/>
    <numFmt numFmtId="167" formatCode="0,000,000,000,000"/>
    <numFmt numFmtId="168" formatCode="#,##0.00\ &quot;€&quot;"/>
  </numFmts>
  <fonts count="40">
    <font>
      <sz val="11.0"/>
      <color theme="1"/>
      <name val="Calibri"/>
      <scheme val="minor"/>
    </font>
    <font>
      <sz val="6.0"/>
      <color theme="1"/>
      <name val="Arial"/>
    </font>
    <font>
      <sz val="6.0"/>
      <color rgb="FF000000"/>
      <name val="Arial"/>
    </font>
    <font>
      <sz val="10.0"/>
      <color theme="1"/>
      <name val="Calibri"/>
    </font>
    <font>
      <b/>
      <sz val="11.0"/>
      <color rgb="FF7030A0"/>
      <name val="Calibri"/>
    </font>
    <font>
      <sz val="11.0"/>
      <color theme="1"/>
      <name val="Calibri"/>
    </font>
    <font>
      <sz val="5.0"/>
      <color theme="1"/>
      <name val="Calibri"/>
    </font>
    <font/>
    <font>
      <b/>
      <sz val="9.0"/>
      <color rgb="FF7030A0"/>
      <name val="Arial"/>
    </font>
    <font>
      <b/>
      <sz val="6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Calibri"/>
    </font>
    <font>
      <b/>
      <sz val="7.0"/>
      <color theme="1"/>
      <name val="Arial"/>
    </font>
    <font>
      <sz val="7.0"/>
      <color theme="1"/>
      <name val="Calibri"/>
    </font>
    <font>
      <sz val="7.0"/>
      <color theme="1"/>
      <name val="Arial"/>
    </font>
    <font>
      <sz val="7.0"/>
      <color rgb="FF000000"/>
      <name val="Arial"/>
    </font>
    <font>
      <b/>
      <sz val="7.0"/>
      <color rgb="FF000000"/>
      <name val="Arial"/>
    </font>
    <font>
      <sz val="7.0"/>
      <color rgb="FFFF00FF"/>
      <name val="Arial"/>
    </font>
    <font>
      <sz val="6.0"/>
      <color rgb="FF333333"/>
      <name val="Arial"/>
    </font>
    <font>
      <sz val="11.0"/>
      <color theme="1"/>
      <name val="Arial"/>
    </font>
    <font>
      <sz val="6.0"/>
      <color rgb="FF222222"/>
      <name val="Arial"/>
    </font>
    <font>
      <b/>
      <sz val="6.0"/>
      <color rgb="FF000000"/>
      <name val="Arial"/>
    </font>
    <font>
      <b/>
      <sz val="9.0"/>
      <color rgb="FF7030A0"/>
      <name val="Calibri"/>
    </font>
    <font>
      <sz val="8.0"/>
      <color rgb="FFFF00FF"/>
      <name val="Arial"/>
    </font>
    <font>
      <sz val="6.0"/>
      <color rgb="FF434343"/>
      <name val="Arial"/>
    </font>
    <font>
      <sz val="6.0"/>
      <color rgb="FF000000"/>
      <name val="Sans-serif"/>
    </font>
    <font>
      <sz val="5.0"/>
      <color theme="1"/>
      <name val="Arial"/>
    </font>
    <font>
      <b/>
      <sz val="8.0"/>
      <color rgb="FF7030A0"/>
      <name val="Calibri"/>
    </font>
    <font>
      <sz val="6.0"/>
      <color rgb="FF262626"/>
      <name val="Arial"/>
    </font>
    <font>
      <b/>
      <sz val="8.0"/>
      <color rgb="FFFF0000"/>
      <name val="Arial"/>
    </font>
    <font>
      <sz val="6.0"/>
      <color rgb="FF292929"/>
      <name val="Arial"/>
    </font>
    <font>
      <sz val="6.0"/>
      <color rgb="FF222221"/>
      <name val="Arial"/>
    </font>
    <font>
      <sz val="9.0"/>
      <color rgb="FF000000"/>
      <name val="Calibri"/>
    </font>
    <font>
      <b/>
      <sz val="6.0"/>
      <color rgb="FF7030A0"/>
      <name val="Arial"/>
    </font>
    <font>
      <b/>
      <sz val="11.0"/>
      <color rgb="FF7030A0"/>
      <name val="Arial"/>
    </font>
    <font>
      <color rgb="FF222222"/>
      <name val="Arial"/>
    </font>
    <font>
      <b/>
      <sz val="14.0"/>
      <color rgb="FF222222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F6F8F9"/>
        <bgColor rgb="FFF6F8F9"/>
      </patternFill>
    </fill>
    <fill>
      <patternFill patternType="solid">
        <fgColor rgb="FFF9F9F9"/>
        <bgColor rgb="FFF9F9F9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BFBFBF"/>
        <bgColor rgb="FFBFBFBF"/>
      </patternFill>
    </fill>
  </fills>
  <borders count="18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2" fontId="2" numFmtId="2" xfId="0" applyAlignment="1" applyBorder="1" applyFont="1" applyNumberForma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Border="1" applyFont="1"/>
    <xf borderId="2" fillId="2" fontId="6" numFmtId="49" xfId="0" applyAlignment="1" applyBorder="1" applyFont="1" applyNumberFormat="1">
      <alignment horizontal="left" shrinkToFit="0" wrapText="1"/>
    </xf>
    <xf borderId="3" fillId="0" fontId="7" numFmtId="0" xfId="0" applyBorder="1" applyFont="1"/>
    <xf borderId="0" fillId="0" fontId="5" numFmtId="1" xfId="0" applyFont="1" applyNumberFormat="1"/>
    <xf borderId="0" fillId="0" fontId="5" numFmtId="0" xfId="0" applyFont="1"/>
    <xf borderId="4" fillId="3" fontId="1" numFmtId="49" xfId="0" applyAlignment="1" applyBorder="1" applyFill="1" applyFont="1" applyNumberFormat="1">
      <alignment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4" fillId="3" fontId="2" numFmtId="164" xfId="0" applyAlignment="1" applyBorder="1" applyFont="1" applyNumberFormat="1">
      <alignment horizontal="center" shrinkToFit="0" vertical="center" wrapText="1"/>
    </xf>
    <xf borderId="4" fillId="3" fontId="2" numFmtId="2" xfId="0" applyAlignment="1" applyBorder="1" applyFont="1" applyNumberFormat="1">
      <alignment horizontal="center" readingOrder="0" shrinkToFit="0" vertical="center" wrapText="1"/>
    </xf>
    <xf borderId="4" fillId="3" fontId="1" numFmtId="2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4" fillId="0" fontId="8" numFmtId="2" xfId="0" applyAlignment="1" applyBorder="1" applyFont="1" applyNumberFormat="1">
      <alignment horizontal="center" vertical="center"/>
    </xf>
    <xf borderId="4" fillId="0" fontId="9" numFmtId="2" xfId="0" applyAlignment="1" applyBorder="1" applyFont="1" applyNumberFormat="1">
      <alignment horizontal="center" vertical="center"/>
    </xf>
    <xf borderId="0" fillId="0" fontId="10" numFmtId="0" xfId="0" applyFont="1"/>
    <xf borderId="4" fillId="4" fontId="11" numFmtId="0" xfId="0" applyAlignment="1" applyBorder="1" applyFill="1" applyFont="1">
      <alignment shrinkToFit="0" vertical="center" wrapText="1"/>
    </xf>
    <xf borderId="4" fillId="4" fontId="11" numFmtId="0" xfId="0" applyAlignment="1" applyBorder="1" applyFont="1">
      <alignment vertical="center"/>
    </xf>
    <xf borderId="4" fillId="4" fontId="12" numFmtId="164" xfId="0" applyAlignment="1" applyBorder="1" applyFont="1" applyNumberFormat="1">
      <alignment horizontal="center" shrinkToFit="0" vertical="center" wrapText="1"/>
    </xf>
    <xf borderId="4" fillId="4" fontId="13" numFmtId="2" xfId="0" applyAlignment="1" applyBorder="1" applyFont="1" applyNumberFormat="1">
      <alignment horizontal="center" shrinkToFit="0" vertical="center" wrapText="1"/>
    </xf>
    <xf borderId="4" fillId="4" fontId="13" numFmtId="1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4" fillId="4" fontId="14" numFmtId="0" xfId="0" applyBorder="1" applyFont="1"/>
    <xf borderId="4" fillId="5" fontId="15" numFmtId="49" xfId="0" applyAlignment="1" applyBorder="1" applyFill="1" applyFont="1" applyNumberFormat="1">
      <alignment shrinkToFit="0" vertical="center" wrapText="1"/>
    </xf>
    <xf borderId="4" fillId="5" fontId="1" numFmtId="0" xfId="0" applyAlignment="1" applyBorder="1" applyFont="1">
      <alignment vertical="center"/>
    </xf>
    <xf borderId="4" fillId="5" fontId="1" numFmtId="0" xfId="0" applyAlignment="1" applyBorder="1" applyFont="1">
      <alignment shrinkToFit="0" vertical="center" wrapText="1"/>
    </xf>
    <xf borderId="4" fillId="5" fontId="2" numFmtId="164" xfId="0" applyAlignment="1" applyBorder="1" applyFont="1" applyNumberFormat="1">
      <alignment horizontal="center" shrinkToFit="0" vertical="center" wrapText="1"/>
    </xf>
    <xf borderId="4" fillId="5" fontId="16" numFmtId="2" xfId="0" applyBorder="1" applyFont="1" applyNumberFormat="1"/>
    <xf borderId="4" fillId="5" fontId="2" numFmtId="2" xfId="0" applyAlignment="1" applyBorder="1" applyFont="1" applyNumberFormat="1">
      <alignment horizontal="center" shrinkToFit="0" vertical="center" wrapText="1"/>
    </xf>
    <xf borderId="4" fillId="5" fontId="2" numFmtId="1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5" numFmtId="0" xfId="0" applyBorder="1" applyFont="1"/>
    <xf borderId="4" fillId="5" fontId="17" numFmtId="49" xfId="0" applyAlignment="1" applyBorder="1" applyFont="1" applyNumberFormat="1">
      <alignment shrinkToFit="0" vertical="center" wrapText="1"/>
    </xf>
    <xf borderId="4" fillId="5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6" fontId="2" numFmtId="2" xfId="0" applyAlignment="1" applyBorder="1" applyFill="1" applyFont="1" applyNumberFormat="1">
      <alignment horizontal="center" shrinkToFit="0" vertical="center" wrapText="1"/>
    </xf>
    <xf borderId="4" fillId="5" fontId="2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5" numFmtId="2" xfId="0" applyAlignment="1" applyBorder="1" applyFont="1" applyNumberFormat="1">
      <alignment horizontal="center" vertical="center"/>
    </xf>
    <xf borderId="1" fillId="5" fontId="5" numFmtId="0" xfId="0" applyBorder="1" applyFont="1"/>
    <xf borderId="4" fillId="5" fontId="4" numFmtId="0" xfId="0" applyAlignment="1" applyBorder="1" applyFont="1">
      <alignment horizontal="center" vertical="center"/>
    </xf>
    <xf borderId="4" fillId="5" fontId="18" numFmtId="49" xfId="0" applyAlignment="1" applyBorder="1" applyFont="1" applyNumberFormat="1">
      <alignment shrinkToFit="0" vertical="center" wrapText="1"/>
    </xf>
    <xf borderId="4" fillId="5" fontId="19" numFmtId="49" xfId="0" applyAlignment="1" applyBorder="1" applyFont="1" applyNumberFormat="1">
      <alignment shrinkToFit="0" vertical="center" wrapText="1"/>
    </xf>
    <xf borderId="4" fillId="0" fontId="17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8" numFmtId="49" xfId="0" applyAlignment="1" applyBorder="1" applyFont="1" applyNumberFormat="1">
      <alignment vertical="center"/>
    </xf>
    <xf borderId="4" fillId="5" fontId="18" numFmtId="49" xfId="0" applyAlignment="1" applyBorder="1" applyFont="1" applyNumberFormat="1">
      <alignment vertical="center"/>
    </xf>
    <xf borderId="4" fillId="5" fontId="17" numFmtId="0" xfId="0" applyAlignment="1" applyBorder="1" applyFont="1">
      <alignment horizontal="center" vertical="center"/>
    </xf>
    <xf borderId="0" fillId="5" fontId="1" numFmtId="164" xfId="0" applyAlignment="1" applyFont="1" applyNumberFormat="1">
      <alignment horizontal="center" vertical="center"/>
    </xf>
    <xf borderId="4" fillId="6" fontId="1" numFmtId="2" xfId="0" applyAlignment="1" applyBorder="1" applyFont="1" applyNumberFormat="1">
      <alignment horizontal="center" vertical="center"/>
    </xf>
    <xf borderId="4" fillId="5" fontId="1" numFmtId="2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quotePrefix="1" borderId="4" fillId="5" fontId="1" numFmtId="164" xfId="0" applyAlignment="1" applyBorder="1" applyFont="1" applyNumberFormat="1">
      <alignment horizontal="center" vertical="center"/>
    </xf>
    <xf borderId="4" fillId="5" fontId="20" numFmtId="49" xfId="0" applyAlignment="1" applyBorder="1" applyFont="1" applyNumberFormat="1">
      <alignment shrinkToFit="0" wrapText="1"/>
    </xf>
    <xf borderId="4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center" shrinkToFit="0" wrapText="1"/>
    </xf>
    <xf borderId="0" fillId="5" fontId="21" numFmtId="49" xfId="0" applyAlignment="1" applyFont="1" applyNumberFormat="1">
      <alignment horizontal="center"/>
    </xf>
    <xf borderId="4" fillId="6" fontId="16" numFmtId="2" xfId="0" applyAlignment="1" applyBorder="1" applyFont="1" applyNumberFormat="1">
      <alignment horizontal="center" vertical="center"/>
    </xf>
    <xf borderId="4" fillId="5" fontId="1" numFmtId="166" xfId="0" applyAlignment="1" applyBorder="1" applyFont="1" applyNumberFormat="1">
      <alignment horizontal="center" shrinkToFit="0" vertical="center" wrapText="1"/>
    </xf>
    <xf borderId="4" fillId="5" fontId="1" numFmtId="49" xfId="0" applyAlignment="1" applyBorder="1" applyFont="1" applyNumberFormat="1">
      <alignment horizontal="center" shrinkToFit="0" wrapText="1"/>
    </xf>
    <xf quotePrefix="1" borderId="4" fillId="5" fontId="1" numFmtId="164" xfId="0" applyAlignment="1" applyBorder="1" applyFont="1" applyNumberFormat="1">
      <alignment horizontal="center" shrinkToFit="0" wrapText="1"/>
    </xf>
    <xf quotePrefix="1" borderId="0" fillId="5" fontId="21" numFmtId="164" xfId="0" applyAlignment="1" applyFont="1" applyNumberFormat="1">
      <alignment horizontal="center"/>
    </xf>
    <xf borderId="4" fillId="5" fontId="20" numFmtId="49" xfId="0" applyAlignment="1" applyBorder="1" applyFont="1" applyNumberFormat="1">
      <alignment shrinkToFit="0" vertical="center" wrapText="1"/>
    </xf>
    <xf borderId="4" fillId="5" fontId="1" numFmtId="164" xfId="0" applyAlignment="1" applyBorder="1" applyFont="1" applyNumberFormat="1">
      <alignment horizontal="center" shrinkToFit="0" vertical="center" wrapText="1"/>
    </xf>
    <xf borderId="4" fillId="6" fontId="1" numFmtId="2" xfId="0" applyAlignment="1" applyBorder="1" applyFont="1" applyNumberFormat="1">
      <alignment horizontal="center" shrinkToFit="0" vertical="center" wrapText="1"/>
    </xf>
    <xf borderId="4" fillId="0" fontId="21" numFmtId="164" xfId="0" applyAlignment="1" applyBorder="1" applyFont="1" applyNumberForma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4" fillId="0" fontId="23" numFmtId="164" xfId="0" applyAlignment="1" applyBorder="1" applyFont="1" applyNumberFormat="1">
      <alignment horizontal="center" vertical="center"/>
    </xf>
    <xf borderId="1" fillId="5" fontId="21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164" xfId="0" applyAlignment="1" applyBorder="1" applyFont="1" applyNumberFormat="1">
      <alignment vertical="center"/>
    </xf>
    <xf borderId="4" fillId="5" fontId="5" numFmtId="2" xfId="0" applyAlignment="1" applyBorder="1" applyFont="1" applyNumberFormat="1">
      <alignment vertical="center"/>
    </xf>
    <xf borderId="4" fillId="6" fontId="16" numFmtId="2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vertical="center"/>
    </xf>
    <xf borderId="4" fillId="4" fontId="9" numFmtId="0" xfId="0" applyAlignment="1" applyBorder="1" applyFont="1">
      <alignment shrinkToFit="0" vertical="center" wrapText="1"/>
    </xf>
    <xf borderId="4" fillId="4" fontId="24" numFmtId="164" xfId="0" applyAlignment="1" applyBorder="1" applyFont="1" applyNumberFormat="1">
      <alignment horizontal="center" shrinkToFit="0" vertical="center" wrapText="1"/>
    </xf>
    <xf borderId="4" fillId="4" fontId="2" numFmtId="2" xfId="0" applyAlignment="1" applyBorder="1" applyFont="1" applyNumberFormat="1">
      <alignment horizontal="center" shrinkToFit="0" vertical="center" wrapText="1"/>
    </xf>
    <xf borderId="4" fillId="4" fontId="25" numFmtId="1" xfId="0" applyAlignment="1" applyBorder="1" applyFont="1" applyNumberFormat="1">
      <alignment horizontal="center" vertical="center"/>
    </xf>
    <xf borderId="4" fillId="4" fontId="25" numFmtId="0" xfId="0" applyAlignment="1" applyBorder="1" applyFont="1">
      <alignment horizontal="center" vertical="center"/>
    </xf>
    <xf borderId="4" fillId="0" fontId="18" numFmtId="49" xfId="0" applyAlignment="1" applyBorder="1" applyFont="1" applyNumberFormat="1">
      <alignment horizontal="left" vertical="center"/>
    </xf>
    <xf borderId="4" fillId="5" fontId="11" numFmtId="49" xfId="0" applyAlignment="1" applyBorder="1" applyFont="1" applyNumberFormat="1">
      <alignment shrinkToFit="0" vertical="center" wrapText="1"/>
    </xf>
    <xf borderId="4" fillId="5" fontId="26" numFmtId="49" xfId="0" applyAlignment="1" applyBorder="1" applyFont="1" applyNumberFormat="1">
      <alignment shrinkToFit="0" vertical="center" wrapText="1"/>
    </xf>
    <xf borderId="4" fillId="5" fontId="1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shrinkToFit="0" vertical="center" wrapText="1"/>
    </xf>
    <xf borderId="4" fillId="2" fontId="18" numFmtId="49" xfId="0" applyAlignment="1" applyBorder="1" applyFont="1" applyNumberFormat="1">
      <alignment vertical="center"/>
    </xf>
    <xf borderId="4" fillId="5" fontId="2" numFmtId="0" xfId="0" applyAlignment="1" applyBorder="1" applyFont="1">
      <alignment horizontal="center" vertical="center"/>
    </xf>
    <xf borderId="4" fillId="5" fontId="2" numFmtId="164" xfId="0" applyAlignment="1" applyBorder="1" applyFont="1" applyNumberFormat="1">
      <alignment horizontal="center" vertical="center"/>
    </xf>
    <xf borderId="4" fillId="6" fontId="2" numFmtId="2" xfId="0" applyAlignment="1" applyBorder="1" applyFont="1" applyNumberForma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4" fillId="5" fontId="2" numFmtId="1" xfId="0" applyAlignment="1" applyBorder="1" applyFont="1" applyNumberFormat="1">
      <alignment horizontal="center" shrinkToFit="0" vertical="center" wrapText="1"/>
    </xf>
    <xf borderId="4" fillId="7" fontId="2" numFmtId="0" xfId="0" applyAlignment="1" applyBorder="1" applyFill="1" applyFont="1">
      <alignment horizontal="center" vertical="center"/>
    </xf>
    <xf borderId="4" fillId="7" fontId="2" numFmtId="164" xfId="0" applyAlignment="1" applyBorder="1" applyFont="1" applyNumberFormat="1">
      <alignment horizontal="center" vertical="center"/>
    </xf>
    <xf borderId="4" fillId="5" fontId="1" numFmtId="49" xfId="0" applyAlignment="1" applyBorder="1" applyFont="1" applyNumberFormat="1">
      <alignment horizontal="center" vertical="center"/>
    </xf>
    <xf borderId="4" fillId="5" fontId="1" numFmtId="2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vertical="center"/>
    </xf>
    <xf borderId="4" fillId="5" fontId="15" numFmtId="0" xfId="0" applyAlignment="1" applyBorder="1" applyFont="1">
      <alignment shrinkToFit="0" vertical="center" wrapText="1"/>
    </xf>
    <xf borderId="4" fillId="5" fontId="20" numFmtId="0" xfId="0" applyAlignment="1" applyBorder="1" applyFont="1">
      <alignment shrinkToFit="0" vertical="center" wrapText="1"/>
    </xf>
    <xf borderId="4" fillId="6" fontId="16" numFmtId="166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vertical="center"/>
    </xf>
    <xf borderId="4" fillId="5" fontId="9" numFmtId="0" xfId="0" applyAlignment="1" applyBorder="1" applyFont="1">
      <alignment shrinkToFit="0" vertical="center" wrapText="1"/>
    </xf>
    <xf borderId="4" fillId="5" fontId="24" numFmtId="164" xfId="0" applyAlignment="1" applyBorder="1" applyFont="1" applyNumberFormat="1">
      <alignment horizontal="center" shrinkToFit="0" vertical="center" wrapText="1"/>
    </xf>
    <xf borderId="4" fillId="5" fontId="18" numFmtId="0" xfId="0" applyAlignment="1" applyBorder="1" applyFont="1">
      <alignment vertical="center"/>
    </xf>
    <xf borderId="4" fillId="0" fontId="18" numFmtId="49" xfId="0" applyAlignment="1" applyBorder="1" applyFont="1" applyNumberFormat="1">
      <alignment shrinkToFit="0" vertical="center" wrapText="1"/>
    </xf>
    <xf borderId="4" fillId="5" fontId="17" numFmtId="49" xfId="0" applyAlignment="1" applyBorder="1" applyFont="1" applyNumberFormat="1">
      <alignment vertical="center"/>
    </xf>
    <xf borderId="4" fillId="5" fontId="27" numFmtId="0" xfId="0" applyAlignment="1" applyBorder="1" applyFont="1">
      <alignment horizontal="center" vertical="center"/>
    </xf>
    <xf borderId="4" fillId="5" fontId="2" numFmtId="164" xfId="0" applyAlignment="1" applyBorder="1" applyFont="1" applyNumberFormat="1">
      <alignment horizontal="center" vertical="center"/>
    </xf>
    <xf borderId="4" fillId="6" fontId="27" numFmtId="2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4" fillId="5" fontId="20" numFmtId="49" xfId="0" applyAlignment="1" applyBorder="1" applyFont="1" applyNumberFormat="1">
      <alignment vertical="center"/>
    </xf>
    <xf borderId="1" fillId="5" fontId="28" numFmtId="164" xfId="0" applyAlignment="1" applyBorder="1" applyFont="1" applyNumberFormat="1">
      <alignment horizontal="center" vertical="center"/>
    </xf>
    <xf borderId="4" fillId="0" fontId="29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0" fillId="0" fontId="5" numFmtId="49" xfId="0" applyFont="1" applyNumberFormat="1"/>
    <xf borderId="4" fillId="0" fontId="18" numFmtId="49" xfId="0" applyAlignment="1" applyBorder="1" applyFont="1" applyNumberFormat="1">
      <alignment horizontal="left" shrinkToFit="0" vertical="center" wrapText="1"/>
    </xf>
    <xf quotePrefix="1" borderId="4" fillId="5" fontId="1" numFmtId="164" xfId="0" applyAlignment="1" applyBorder="1" applyFont="1" applyNumberFormat="1">
      <alignment horizontal="center" shrinkToFit="0" vertical="center" wrapText="1"/>
    </xf>
    <xf borderId="4" fillId="6" fontId="2" numFmtId="166" xfId="0" applyAlignment="1" applyBorder="1" applyFont="1" applyNumberForma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vertical="center"/>
    </xf>
    <xf borderId="4" fillId="5" fontId="19" numFmtId="164" xfId="0" applyAlignment="1" applyBorder="1" applyFont="1" applyNumberFormat="1">
      <alignment horizontal="center" shrinkToFit="0" vertical="center" wrapText="1"/>
    </xf>
    <xf borderId="4" fillId="5" fontId="18" numFmtId="2" xfId="0" applyAlignment="1" applyBorder="1" applyFont="1" applyNumberFormat="1">
      <alignment horizontal="center" shrinkToFit="0" vertical="center" wrapText="1"/>
    </xf>
    <xf borderId="4" fillId="8" fontId="2" numFmtId="164" xfId="0" applyAlignment="1" applyBorder="1" applyFill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shrinkToFit="0" vertical="center" wrapText="1"/>
    </xf>
    <xf borderId="4" fillId="5" fontId="19" numFmtId="0" xfId="0" applyAlignment="1" applyBorder="1" applyFont="1">
      <alignment shrinkToFit="0" vertical="center" wrapText="1"/>
    </xf>
    <xf borderId="4" fillId="2" fontId="17" numFmtId="0" xfId="0" applyAlignment="1" applyBorder="1" applyFont="1">
      <alignment horizontal="left" vertical="center"/>
    </xf>
    <xf borderId="4" fillId="4" fontId="30" numFmtId="0" xfId="0" applyAlignment="1" applyBorder="1" applyFont="1">
      <alignment horizontal="center" vertical="center"/>
    </xf>
    <xf borderId="4" fillId="5" fontId="17" numFmtId="49" xfId="0" applyAlignment="1" applyBorder="1" applyFont="1" applyNumberFormat="1">
      <alignment shrinkToFit="0" wrapText="1"/>
    </xf>
    <xf borderId="5" fillId="5" fontId="2" numFmtId="164" xfId="0" applyAlignment="1" applyBorder="1" applyFont="1" applyNumberForma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7" fillId="6" fontId="2" numFmtId="2" xfId="0" applyAlignment="1" applyBorder="1" applyFont="1" applyNumberFormat="1">
      <alignment horizontal="center" shrinkToFit="0" vertical="center" wrapText="1"/>
    </xf>
    <xf borderId="8" fillId="5" fontId="2" numFmtId="164" xfId="0" applyAlignment="1" applyBorder="1" applyFont="1" applyNumberFormat="1">
      <alignment horizontal="center" shrinkToFit="0" vertical="center" wrapText="1"/>
    </xf>
    <xf borderId="4" fillId="5" fontId="18" numFmtId="0" xfId="0" applyAlignment="1" applyBorder="1" applyFont="1">
      <alignment horizontal="left" vertical="center"/>
    </xf>
    <xf borderId="1" fillId="5" fontId="31" numFmtId="164" xfId="0" applyAlignment="1" applyBorder="1" applyFont="1" applyNumberFormat="1">
      <alignment horizontal="center" vertical="center"/>
    </xf>
    <xf borderId="4" fillId="5" fontId="1" numFmtId="0" xfId="0" applyBorder="1" applyFont="1"/>
    <xf borderId="4" fillId="5" fontId="1" numFmtId="0" xfId="0" applyAlignment="1" applyBorder="1" applyFont="1">
      <alignment shrinkToFit="0" wrapText="1"/>
    </xf>
    <xf borderId="4" fillId="4" fontId="30" numFmtId="1" xfId="0" applyAlignment="1" applyBorder="1" applyFont="1" applyNumberFormat="1">
      <alignment horizontal="center" vertical="center"/>
    </xf>
    <xf borderId="4" fillId="9" fontId="11" numFmtId="0" xfId="0" applyAlignment="1" applyBorder="1" applyFill="1" applyFont="1">
      <alignment shrinkToFit="0" vertical="center" wrapText="1"/>
    </xf>
    <xf borderId="4" fillId="9" fontId="32" numFmtId="0" xfId="0" applyAlignment="1" applyBorder="1" applyFont="1">
      <alignment vertical="center"/>
    </xf>
    <xf borderId="4" fillId="9" fontId="32" numFmtId="0" xfId="0" applyAlignment="1" applyBorder="1" applyFont="1">
      <alignment shrinkToFit="0" vertical="center" wrapText="1"/>
    </xf>
    <xf borderId="4" fillId="9" fontId="12" numFmtId="164" xfId="0" applyAlignment="1" applyBorder="1" applyFont="1" applyNumberFormat="1">
      <alignment horizontal="center" shrinkToFit="0" vertical="center" wrapText="1"/>
    </xf>
    <xf borderId="4" fillId="9" fontId="13" numFmtId="2" xfId="0" applyAlignment="1" applyBorder="1" applyFont="1" applyNumberFormat="1">
      <alignment horizontal="center" shrinkToFit="0" vertical="center" wrapText="1"/>
    </xf>
    <xf borderId="4" fillId="9" fontId="13" numFmtId="1" xfId="0" applyAlignment="1" applyBorder="1" applyFont="1" applyNumberFormat="1">
      <alignment horizontal="center" shrinkToFit="0" vertical="center" wrapText="1"/>
    </xf>
    <xf borderId="4" fillId="9" fontId="30" numFmtId="0" xfId="0" applyAlignment="1" applyBorder="1" applyFont="1">
      <alignment horizontal="center" vertical="center"/>
    </xf>
    <xf borderId="4" fillId="9" fontId="4" numFmtId="0" xfId="0" applyAlignment="1" applyBorder="1" applyFont="1">
      <alignment horizontal="center" vertical="center"/>
    </xf>
    <xf borderId="4" fillId="5" fontId="21" numFmtId="2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33" numFmtId="164" xfId="0" applyAlignment="1" applyBorder="1" applyFont="1" applyNumberFormat="1">
      <alignment horizontal="center" vertical="center"/>
    </xf>
    <xf borderId="4" fillId="5" fontId="19" numFmtId="49" xfId="0" applyAlignment="1" applyBorder="1" applyFont="1" applyNumberFormat="1">
      <alignment vertical="center"/>
    </xf>
    <xf borderId="4" fillId="5" fontId="1" numFmtId="49" xfId="0" applyAlignment="1" applyBorder="1" applyFont="1" applyNumberFormat="1">
      <alignment horizontal="center"/>
    </xf>
    <xf borderId="4" fillId="5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33" numFmtId="164" xfId="0" applyAlignment="1" applyBorder="1" applyFont="1" applyNumberFormat="1">
      <alignment horizontal="center" vertical="center"/>
    </xf>
    <xf quotePrefix="1" borderId="4" fillId="0" fontId="18" numFmtId="0" xfId="0" applyAlignment="1" applyBorder="1" applyFont="1">
      <alignment vertical="center"/>
    </xf>
    <xf borderId="4" fillId="0" fontId="18" numFmtId="0" xfId="0" applyAlignment="1" applyBorder="1" applyFont="1">
      <alignment vertical="center"/>
    </xf>
    <xf borderId="1" fillId="5" fontId="34" numFmtId="164" xfId="0" applyAlignment="1" applyBorder="1" applyFont="1" applyNumberFormat="1">
      <alignment horizontal="center" vertical="center"/>
    </xf>
    <xf borderId="4" fillId="5" fontId="34" numFmtId="164" xfId="0" applyAlignment="1" applyBorder="1" applyFont="1" applyNumberFormat="1">
      <alignment horizontal="center" vertical="center"/>
    </xf>
    <xf borderId="4" fillId="4" fontId="11" numFmtId="49" xfId="0" applyAlignment="1" applyBorder="1" applyFont="1" applyNumberFormat="1">
      <alignment shrinkToFit="0" vertical="center" wrapText="1"/>
    </xf>
    <xf borderId="4" fillId="4" fontId="10" numFmtId="0" xfId="0" applyAlignment="1" applyBorder="1" applyFont="1">
      <alignment vertical="center"/>
    </xf>
    <xf borderId="4" fillId="4" fontId="10" numFmtId="0" xfId="0" applyAlignment="1" applyBorder="1" applyFont="1">
      <alignment shrinkToFit="0" vertical="center" wrapText="1"/>
    </xf>
    <xf borderId="4" fillId="4" fontId="13" numFmtId="16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/>
    </xf>
    <xf borderId="4" fillId="5" fontId="16" numFmtId="0" xfId="0" applyBorder="1" applyFont="1"/>
    <xf borderId="4" fillId="5" fontId="16" numFmtId="164" xfId="0" applyAlignment="1" applyBorder="1" applyFont="1" applyNumberFormat="1">
      <alignment horizontal="center"/>
    </xf>
    <xf borderId="4" fillId="5" fontId="15" numFmtId="49" xfId="0" applyAlignment="1" applyBorder="1" applyFont="1" applyNumberFormat="1">
      <alignment vertical="center"/>
    </xf>
    <xf borderId="4" fillId="0" fontId="19" numFmtId="49" xfId="0" applyAlignment="1" applyBorder="1" applyFont="1" applyNumberFormat="1">
      <alignment shrinkToFit="0" wrapText="1"/>
    </xf>
    <xf borderId="4" fillId="5" fontId="18" numFmtId="167" xfId="0" applyAlignment="1" applyBorder="1" applyFont="1" applyNumberFormat="1">
      <alignment shrinkToFit="0" vertical="center" wrapText="1"/>
    </xf>
    <xf borderId="4" fillId="0" fontId="19" numFmtId="49" xfId="0" applyAlignment="1" applyBorder="1" applyFont="1" applyNumberFormat="1">
      <alignment vertical="center"/>
    </xf>
    <xf borderId="4" fillId="0" fontId="25" numFmtId="0" xfId="0" applyAlignment="1" applyBorder="1" applyFont="1">
      <alignment horizontal="center" vertical="center"/>
    </xf>
    <xf borderId="4" fillId="10" fontId="2" numFmtId="164" xfId="0" applyAlignment="1" applyBorder="1" applyFill="1" applyFont="1" applyNumberForma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4" fillId="11" fontId="21" numFmtId="0" xfId="0" applyAlignment="1" applyBorder="1" applyFill="1" applyFont="1">
      <alignment horizontal="center" vertical="center"/>
    </xf>
    <xf borderId="4" fillId="5" fontId="35" numFmtId="49" xfId="0" applyAlignment="1" applyBorder="1" applyFont="1" applyNumberFormat="1">
      <alignment vertical="center"/>
    </xf>
    <xf borderId="4" fillId="5" fontId="18" numFmtId="3" xfId="0" applyAlignment="1" applyBorder="1" applyFont="1" applyNumberFormat="1">
      <alignment vertical="center"/>
    </xf>
    <xf borderId="4" fillId="6" fontId="1" numFmtId="0" xfId="0" applyAlignment="1" applyBorder="1" applyFont="1">
      <alignment horizontal="center" vertical="center"/>
    </xf>
    <xf borderId="4" fillId="5" fontId="18" numFmtId="167" xfId="0" applyAlignment="1" applyBorder="1" applyFont="1" applyNumberFormat="1">
      <alignment vertical="center"/>
    </xf>
    <xf borderId="4" fillId="5" fontId="23" numFmtId="164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vertical="top"/>
    </xf>
    <xf borderId="4" fillId="0" fontId="5" numFmtId="0" xfId="0" applyAlignment="1" applyBorder="1" applyFont="1">
      <alignment vertical="center"/>
    </xf>
    <xf borderId="4" fillId="12" fontId="19" numFmtId="0" xfId="0" applyAlignment="1" applyBorder="1" applyFill="1" applyFont="1">
      <alignment shrinkToFit="0" vertical="center" wrapText="1"/>
    </xf>
    <xf borderId="4" fillId="12" fontId="9" numFmtId="0" xfId="0" applyAlignment="1" applyBorder="1" applyFont="1">
      <alignment vertical="center"/>
    </xf>
    <xf borderId="4" fillId="12" fontId="9" numFmtId="0" xfId="0" applyAlignment="1" applyBorder="1" applyFont="1">
      <alignment shrinkToFit="0" vertical="center" wrapText="1"/>
    </xf>
    <xf borderId="4" fillId="12" fontId="24" numFmtId="164" xfId="0" applyAlignment="1" applyBorder="1" applyFont="1" applyNumberFormat="1">
      <alignment horizontal="center" shrinkToFit="0" vertical="center" wrapText="1"/>
    </xf>
    <xf borderId="4" fillId="12" fontId="16" numFmtId="2" xfId="0" applyBorder="1" applyFont="1" applyNumberFormat="1"/>
    <xf borderId="4" fillId="12" fontId="2" numFmtId="2" xfId="0" applyAlignment="1" applyBorder="1" applyFont="1" applyNumberFormat="1">
      <alignment horizontal="center" shrinkToFit="0" vertical="center" wrapText="1"/>
    </xf>
    <xf borderId="4" fillId="12" fontId="2" numFmtId="1" xfId="0" applyAlignment="1" applyBorder="1" applyFont="1" applyNumberFormat="1">
      <alignment horizontal="center" shrinkToFit="0" vertical="center" wrapText="1"/>
    </xf>
    <xf borderId="4" fillId="12" fontId="2" numFmtId="165" xfId="0" applyAlignment="1" applyBorder="1" applyFont="1" applyNumberFormat="1">
      <alignment horizontal="center" shrinkToFit="0" vertical="center" wrapText="1"/>
    </xf>
    <xf borderId="4" fillId="12" fontId="4" numFmtId="0" xfId="0" applyAlignment="1" applyBorder="1" applyFont="1">
      <alignment horizontal="center" vertical="center"/>
    </xf>
    <xf borderId="4" fillId="12" fontId="5" numFmtId="2" xfId="0" applyAlignment="1" applyBorder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5" fontId="15" numFmtId="49" xfId="0" applyAlignment="1" applyBorder="1" applyFont="1" applyNumberFormat="1">
      <alignment shrinkToFit="0" wrapText="1"/>
    </xf>
    <xf borderId="5" fillId="5" fontId="19" numFmtId="0" xfId="0" applyAlignment="1" applyBorder="1" applyFont="1">
      <alignment shrinkToFit="0" vertical="center" wrapText="1"/>
    </xf>
    <xf borderId="4" fillId="5" fontId="18" numFmtId="0" xfId="0" applyAlignment="1" applyBorder="1" applyFont="1">
      <alignment shrinkToFit="0" vertical="center" wrapText="1"/>
    </xf>
    <xf borderId="7" fillId="5" fontId="5" numFmtId="0" xfId="0" applyAlignment="1" applyBorder="1" applyFont="1">
      <alignment vertical="center"/>
    </xf>
    <xf borderId="8" fillId="5" fontId="19" numFmtId="0" xfId="0" applyAlignment="1" applyBorder="1" applyFont="1">
      <alignment shrinkToFit="0" vertical="center" wrapText="1"/>
    </xf>
    <xf borderId="5" fillId="6" fontId="2" numFmtId="2" xfId="0" applyAlignment="1" applyBorder="1" applyFont="1" applyNumberFormat="1">
      <alignment horizontal="center" shrinkToFit="0" vertical="center" wrapText="1"/>
    </xf>
    <xf borderId="5" fillId="5" fontId="2" numFmtId="2" xfId="0" applyAlignment="1" applyBorder="1" applyFont="1" applyNumberFormat="1">
      <alignment horizontal="center" shrinkToFit="0" vertical="center" wrapText="1"/>
    </xf>
    <xf borderId="5" fillId="5" fontId="2" numFmtId="1" xfId="0" applyAlignment="1" applyBorder="1" applyFont="1" applyNumberFormat="1">
      <alignment horizontal="center" shrinkToFit="0" vertical="center" wrapText="1"/>
    </xf>
    <xf borderId="9" fillId="0" fontId="36" numFmtId="2" xfId="0" applyAlignment="1" applyBorder="1" applyFont="1" applyNumberForma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12" fillId="0" fontId="5" numFmtId="1" xfId="0" applyBorder="1" applyFont="1" applyNumberFormat="1"/>
    <xf borderId="13" fillId="0" fontId="5" numFmtId="0" xfId="0" applyBorder="1" applyFont="1"/>
    <xf borderId="14" fillId="0" fontId="37" numFmtId="0" xfId="0" applyAlignment="1" applyBorder="1" applyFont="1">
      <alignment horizontal="center" vertical="center"/>
    </xf>
    <xf borderId="15" fillId="0" fontId="5" numFmtId="168" xfId="0" applyAlignment="1" applyBorder="1" applyFont="1" applyNumberFormat="1">
      <alignment horizontal="center" vertical="center"/>
    </xf>
    <xf borderId="11" fillId="0" fontId="9" numFmtId="2" xfId="0" applyAlignment="1" applyBorder="1" applyFont="1" applyNumberFormat="1">
      <alignment horizontal="center" vertical="center"/>
    </xf>
    <xf borderId="16" fillId="0" fontId="36" numFmtId="2" xfId="0" applyAlignment="1" applyBorder="1" applyFont="1" applyNumberFormat="1">
      <alignment horizontal="center" vertical="center"/>
    </xf>
    <xf borderId="13" fillId="0" fontId="7" numFmtId="0" xfId="0" applyBorder="1" applyFont="1"/>
    <xf borderId="17" fillId="0" fontId="25" numFmtId="0" xfId="0" applyBorder="1" applyFont="1"/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/>
    </xf>
    <xf borderId="0" fillId="5" fontId="38" numFmtId="0" xfId="0" applyFont="1"/>
    <xf borderId="0" fillId="5" fontId="39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Feuil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76350" cy="495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0:G19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3" width="4.29"/>
    <col customWidth="1" min="4" max="4" width="13.86"/>
    <col customWidth="1" min="5" max="5" width="7.0"/>
    <col customWidth="1" min="6" max="6" width="7.43"/>
    <col customWidth="1" min="7" max="7" width="11.71"/>
    <col customWidth="1" min="8" max="8" width="7.29"/>
    <col customWidth="1" min="9" max="9" width="7.0"/>
    <col customWidth="1" min="10" max="10" width="14.71"/>
    <col customWidth="1" min="11" max="11" width="10.71"/>
    <col customWidth="1" min="12" max="12" width="22.14"/>
    <col customWidth="1" min="13" max="22" width="10.71"/>
  </cols>
  <sheetData>
    <row r="1" ht="39.0" customHeight="1">
      <c r="A1" s="1"/>
      <c r="B1" s="2"/>
      <c r="C1" s="3"/>
      <c r="D1" s="4" t="s">
        <v>0</v>
      </c>
      <c r="F1" s="5"/>
      <c r="G1" s="6"/>
      <c r="H1" s="5"/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ht="34.5" customHeight="1">
      <c r="A2" s="9" t="s">
        <v>1</v>
      </c>
      <c r="B2" s="10"/>
      <c r="C2" s="10"/>
      <c r="D2" s="10"/>
      <c r="E2" s="10"/>
      <c r="F2" s="10"/>
      <c r="G2" s="11"/>
      <c r="H2" s="12"/>
      <c r="I2" s="12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6.5" customHeight="1">
      <c r="A3" s="13" t="s">
        <v>2</v>
      </c>
      <c r="B3" s="14" t="s">
        <v>3</v>
      </c>
      <c r="C3" s="15" t="s">
        <v>4</v>
      </c>
      <c r="D3" s="16" t="s">
        <v>5</v>
      </c>
      <c r="E3" s="17" t="s">
        <v>6</v>
      </c>
      <c r="F3" s="17" t="s">
        <v>7</v>
      </c>
      <c r="G3" s="14" t="s">
        <v>8</v>
      </c>
      <c r="H3" s="18" t="s">
        <v>9</v>
      </c>
      <c r="I3" s="19" t="s">
        <v>10</v>
      </c>
      <c r="J3" s="20" t="s">
        <v>11</v>
      </c>
      <c r="K3" s="21" t="s">
        <v>12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15.0" customHeight="1">
      <c r="A4" s="23" t="s">
        <v>13</v>
      </c>
      <c r="B4" s="24"/>
      <c r="C4" s="23"/>
      <c r="D4" s="25"/>
      <c r="E4" s="26"/>
      <c r="F4" s="26"/>
      <c r="G4" s="27"/>
      <c r="H4" s="26"/>
      <c r="I4" s="26"/>
      <c r="J4" s="28"/>
      <c r="K4" s="29"/>
    </row>
    <row r="5" ht="15.0" customHeight="1">
      <c r="A5" s="30" t="s">
        <v>14</v>
      </c>
      <c r="B5" s="31"/>
      <c r="C5" s="32"/>
      <c r="D5" s="33"/>
      <c r="E5" s="34"/>
      <c r="F5" s="35"/>
      <c r="G5" s="36"/>
      <c r="H5" s="35"/>
      <c r="I5" s="35"/>
      <c r="J5" s="37"/>
      <c r="K5" s="38"/>
    </row>
    <row r="6" ht="15.0" customHeight="1">
      <c r="A6" s="39" t="s">
        <v>15</v>
      </c>
      <c r="B6" s="40" t="s">
        <v>16</v>
      </c>
      <c r="C6" s="41">
        <v>24.0</v>
      </c>
      <c r="D6" s="33">
        <v>5.453003430018E12</v>
      </c>
      <c r="E6" s="42">
        <v>0.45</v>
      </c>
      <c r="F6" s="35">
        <v>10.8</v>
      </c>
      <c r="G6" s="36">
        <v>2.0</v>
      </c>
      <c r="H6" s="43">
        <f t="shared" ref="H6:H8" si="1">I6/C6</f>
        <v>0.5333333333</v>
      </c>
      <c r="I6" s="43">
        <f t="shared" ref="I6:I8" si="2">F6+G6</f>
        <v>12.8</v>
      </c>
      <c r="J6" s="44"/>
      <c r="K6" s="45">
        <f t="shared" ref="K6:K8" si="3">I6*J6</f>
        <v>0</v>
      </c>
    </row>
    <row r="7" ht="15.0" customHeight="1">
      <c r="A7" s="39" t="s">
        <v>17</v>
      </c>
      <c r="B7" s="40" t="s">
        <v>18</v>
      </c>
      <c r="C7" s="41">
        <v>6.0</v>
      </c>
      <c r="D7" s="33">
        <v>5.453003430025E12</v>
      </c>
      <c r="E7" s="42">
        <v>1.35</v>
      </c>
      <c r="F7" s="35">
        <v>8.1</v>
      </c>
      <c r="G7" s="36">
        <v>2.0</v>
      </c>
      <c r="H7" s="43">
        <f t="shared" si="1"/>
        <v>1.683333333</v>
      </c>
      <c r="I7" s="43">
        <f t="shared" si="2"/>
        <v>10.1</v>
      </c>
      <c r="J7" s="44"/>
      <c r="K7" s="45">
        <f t="shared" si="3"/>
        <v>0</v>
      </c>
    </row>
    <row r="8" ht="15.0" customHeight="1">
      <c r="A8" s="39" t="s">
        <v>19</v>
      </c>
      <c r="B8" s="40" t="s">
        <v>18</v>
      </c>
      <c r="C8" s="41">
        <v>6.0</v>
      </c>
      <c r="D8" s="33">
        <v>5.453003430131E12</v>
      </c>
      <c r="E8" s="42">
        <v>1.35</v>
      </c>
      <c r="F8" s="35">
        <f>E8*C8</f>
        <v>8.1</v>
      </c>
      <c r="G8" s="36">
        <v>2.0</v>
      </c>
      <c r="H8" s="43">
        <f t="shared" si="1"/>
        <v>1.683333333</v>
      </c>
      <c r="I8" s="43">
        <f t="shared" si="2"/>
        <v>10.1</v>
      </c>
      <c r="J8" s="37"/>
      <c r="K8" s="45">
        <f t="shared" si="3"/>
        <v>0</v>
      </c>
    </row>
    <row r="9" ht="15.0" customHeight="1">
      <c r="A9" s="30" t="s">
        <v>20</v>
      </c>
      <c r="B9" s="31"/>
      <c r="C9" s="32"/>
      <c r="D9" s="33"/>
      <c r="E9" s="34"/>
      <c r="F9" s="35"/>
      <c r="G9" s="36"/>
      <c r="H9" s="43"/>
      <c r="I9" s="43"/>
      <c r="J9" s="37"/>
      <c r="K9" s="45"/>
    </row>
    <row r="10" ht="15.0" customHeight="1">
      <c r="A10" s="39" t="s">
        <v>21</v>
      </c>
      <c r="B10" s="40" t="s">
        <v>22</v>
      </c>
      <c r="C10" s="41">
        <v>24.0</v>
      </c>
      <c r="D10" s="33">
        <v>5.060947541528E12</v>
      </c>
      <c r="E10" s="42">
        <v>1.1</v>
      </c>
      <c r="F10" s="35">
        <v>26.4</v>
      </c>
      <c r="G10" s="36">
        <v>3.0</v>
      </c>
      <c r="H10" s="43">
        <f t="shared" ref="H10:H38" si="4">I10/C10</f>
        <v>1.225</v>
      </c>
      <c r="I10" s="43">
        <f t="shared" ref="I10:I38" si="5">F10+G10</f>
        <v>29.4</v>
      </c>
      <c r="J10" s="37"/>
      <c r="K10" s="45">
        <f t="shared" ref="K10:K38" si="6">I10*J10</f>
        <v>0</v>
      </c>
    </row>
    <row r="11" ht="15.0" customHeight="1">
      <c r="A11" s="39" t="s">
        <v>23</v>
      </c>
      <c r="B11" s="40" t="s">
        <v>22</v>
      </c>
      <c r="C11" s="41">
        <v>24.0</v>
      </c>
      <c r="D11" s="33" t="s">
        <v>24</v>
      </c>
      <c r="E11" s="42">
        <v>1.1</v>
      </c>
      <c r="F11" s="35">
        <v>26.4</v>
      </c>
      <c r="G11" s="36">
        <v>3.0</v>
      </c>
      <c r="H11" s="43">
        <f t="shared" si="4"/>
        <v>1.225</v>
      </c>
      <c r="I11" s="43">
        <f t="shared" si="5"/>
        <v>29.4</v>
      </c>
      <c r="J11" s="37"/>
      <c r="K11" s="45">
        <f t="shared" si="6"/>
        <v>0</v>
      </c>
    </row>
    <row r="12" ht="15.0" customHeight="1">
      <c r="A12" s="39" t="s">
        <v>25</v>
      </c>
      <c r="B12" s="40" t="s">
        <v>22</v>
      </c>
      <c r="C12" s="41">
        <v>24.0</v>
      </c>
      <c r="D12" s="33">
        <v>5.060639125739E12</v>
      </c>
      <c r="E12" s="42">
        <v>1.1</v>
      </c>
      <c r="F12" s="35">
        <v>26.4</v>
      </c>
      <c r="G12" s="36">
        <v>3.0</v>
      </c>
      <c r="H12" s="43">
        <f t="shared" si="4"/>
        <v>1.225</v>
      </c>
      <c r="I12" s="43">
        <f t="shared" si="5"/>
        <v>29.4</v>
      </c>
      <c r="J12" s="44"/>
      <c r="K12" s="45">
        <f t="shared" si="6"/>
        <v>0</v>
      </c>
    </row>
    <row r="13" ht="15.0" customHeight="1">
      <c r="A13" s="39" t="s">
        <v>26</v>
      </c>
      <c r="B13" s="40" t="s">
        <v>22</v>
      </c>
      <c r="C13" s="41">
        <v>24.0</v>
      </c>
      <c r="D13" s="33">
        <v>5.060166696641E12</v>
      </c>
      <c r="E13" s="42">
        <v>1.2</v>
      </c>
      <c r="F13" s="35">
        <v>28.8</v>
      </c>
      <c r="G13" s="36">
        <v>3.0</v>
      </c>
      <c r="H13" s="43">
        <f t="shared" si="4"/>
        <v>1.325</v>
      </c>
      <c r="I13" s="43">
        <f t="shared" si="5"/>
        <v>31.8</v>
      </c>
      <c r="J13" s="37"/>
      <c r="K13" s="45">
        <f t="shared" si="6"/>
        <v>0</v>
      </c>
    </row>
    <row r="14" ht="15.0" customHeight="1">
      <c r="A14" s="39" t="s">
        <v>27</v>
      </c>
      <c r="B14" s="40" t="s">
        <v>22</v>
      </c>
      <c r="C14" s="41">
        <v>24.0</v>
      </c>
      <c r="D14" s="33">
        <v>5.060896625577E12</v>
      </c>
      <c r="E14" s="42">
        <v>1.2</v>
      </c>
      <c r="F14" s="35">
        <v>28.8</v>
      </c>
      <c r="G14" s="36">
        <v>3.0</v>
      </c>
      <c r="H14" s="43">
        <f t="shared" si="4"/>
        <v>1.325</v>
      </c>
      <c r="I14" s="43">
        <f t="shared" si="5"/>
        <v>31.8</v>
      </c>
      <c r="J14" s="37"/>
      <c r="K14" s="45">
        <f t="shared" si="6"/>
        <v>0</v>
      </c>
    </row>
    <row r="15" ht="15.0" customHeight="1">
      <c r="A15" s="39" t="s">
        <v>28</v>
      </c>
      <c r="B15" s="40" t="s">
        <v>22</v>
      </c>
      <c r="C15" s="41">
        <v>24.0</v>
      </c>
      <c r="D15" s="33">
        <v>5.060751215011E12</v>
      </c>
      <c r="E15" s="42">
        <v>1.2</v>
      </c>
      <c r="F15" s="35">
        <v>28.8</v>
      </c>
      <c r="G15" s="36">
        <v>3.0</v>
      </c>
      <c r="H15" s="43">
        <f t="shared" si="4"/>
        <v>1.325</v>
      </c>
      <c r="I15" s="43">
        <f t="shared" si="5"/>
        <v>31.8</v>
      </c>
      <c r="J15" s="37"/>
      <c r="K15" s="45">
        <f t="shared" si="6"/>
        <v>0</v>
      </c>
    </row>
    <row r="16" ht="15.0" customHeight="1">
      <c r="A16" s="39" t="s">
        <v>29</v>
      </c>
      <c r="B16" s="40" t="s">
        <v>22</v>
      </c>
      <c r="C16" s="41">
        <v>24.0</v>
      </c>
      <c r="D16" s="33">
        <v>5.06089662428E12</v>
      </c>
      <c r="E16" s="42">
        <v>1.2</v>
      </c>
      <c r="F16" s="35">
        <v>28.8</v>
      </c>
      <c r="G16" s="36">
        <v>3.0</v>
      </c>
      <c r="H16" s="43">
        <f t="shared" si="4"/>
        <v>1.325</v>
      </c>
      <c r="I16" s="43">
        <f t="shared" si="5"/>
        <v>31.8</v>
      </c>
      <c r="J16" s="37"/>
      <c r="K16" s="45">
        <f t="shared" si="6"/>
        <v>0</v>
      </c>
    </row>
    <row r="17" ht="15.0" customHeight="1">
      <c r="A17" s="39" t="s">
        <v>30</v>
      </c>
      <c r="B17" s="40" t="s">
        <v>22</v>
      </c>
      <c r="C17" s="41">
        <v>24.0</v>
      </c>
      <c r="D17" s="33">
        <v>5.060639127528E12</v>
      </c>
      <c r="E17" s="42">
        <v>1.2</v>
      </c>
      <c r="F17" s="35">
        <v>28.8</v>
      </c>
      <c r="G17" s="36">
        <v>3.0</v>
      </c>
      <c r="H17" s="43">
        <f t="shared" si="4"/>
        <v>1.325</v>
      </c>
      <c r="I17" s="43">
        <f t="shared" si="5"/>
        <v>31.8</v>
      </c>
      <c r="J17" s="37"/>
      <c r="K17" s="45">
        <f t="shared" si="6"/>
        <v>0</v>
      </c>
    </row>
    <row r="18" ht="15.0" customHeight="1">
      <c r="A18" s="39" t="s">
        <v>31</v>
      </c>
      <c r="B18" s="40" t="s">
        <v>22</v>
      </c>
      <c r="C18" s="41">
        <v>24.0</v>
      </c>
      <c r="D18" s="33">
        <v>5.061013940931E12</v>
      </c>
      <c r="E18" s="42">
        <v>1.2</v>
      </c>
      <c r="F18" s="35">
        <v>28.8</v>
      </c>
      <c r="G18" s="36">
        <v>3.0</v>
      </c>
      <c r="H18" s="43">
        <f t="shared" si="4"/>
        <v>1.325</v>
      </c>
      <c r="I18" s="43">
        <f t="shared" si="5"/>
        <v>31.8</v>
      </c>
      <c r="J18" s="37"/>
      <c r="K18" s="45">
        <f t="shared" si="6"/>
        <v>0</v>
      </c>
    </row>
    <row r="19" ht="15.0" customHeight="1">
      <c r="A19" s="39" t="s">
        <v>32</v>
      </c>
      <c r="B19" s="40" t="s">
        <v>22</v>
      </c>
      <c r="C19" s="41">
        <v>24.0</v>
      </c>
      <c r="D19" s="33">
        <v>5.060947541306E12</v>
      </c>
      <c r="E19" s="42">
        <v>1.2</v>
      </c>
      <c r="F19" s="35">
        <v>28.8</v>
      </c>
      <c r="G19" s="36">
        <v>3.0</v>
      </c>
      <c r="H19" s="43">
        <f t="shared" si="4"/>
        <v>1.325</v>
      </c>
      <c r="I19" s="43">
        <f t="shared" si="5"/>
        <v>31.8</v>
      </c>
      <c r="J19" s="37"/>
      <c r="K19" s="45">
        <f t="shared" si="6"/>
        <v>0</v>
      </c>
    </row>
    <row r="20" ht="15.0" customHeight="1">
      <c r="A20" s="39" t="s">
        <v>33</v>
      </c>
      <c r="B20" s="40" t="s">
        <v>22</v>
      </c>
      <c r="C20" s="41">
        <v>24.0</v>
      </c>
      <c r="D20" s="33">
        <v>5.060335635808E12</v>
      </c>
      <c r="E20" s="42">
        <v>1.2</v>
      </c>
      <c r="F20" s="35">
        <v>28.8</v>
      </c>
      <c r="G20" s="36">
        <v>3.0</v>
      </c>
      <c r="H20" s="43">
        <f t="shared" si="4"/>
        <v>1.325</v>
      </c>
      <c r="I20" s="43">
        <f t="shared" si="5"/>
        <v>31.8</v>
      </c>
      <c r="J20" s="37"/>
      <c r="K20" s="45">
        <f t="shared" si="6"/>
        <v>0</v>
      </c>
    </row>
    <row r="21" ht="15.0" customHeight="1">
      <c r="A21" s="39" t="s">
        <v>34</v>
      </c>
      <c r="B21" s="40" t="s">
        <v>22</v>
      </c>
      <c r="C21" s="41">
        <v>24.0</v>
      </c>
      <c r="D21" s="33">
        <v>5.060947549715E12</v>
      </c>
      <c r="E21" s="42">
        <v>1.2</v>
      </c>
      <c r="F21" s="35">
        <v>28.8</v>
      </c>
      <c r="G21" s="36">
        <v>3.0</v>
      </c>
      <c r="H21" s="43">
        <f t="shared" si="4"/>
        <v>1.325</v>
      </c>
      <c r="I21" s="43">
        <f t="shared" si="5"/>
        <v>31.8</v>
      </c>
      <c r="J21" s="37"/>
      <c r="K21" s="45">
        <f t="shared" si="6"/>
        <v>0</v>
      </c>
    </row>
    <row r="22" ht="15.0" customHeight="1">
      <c r="A22" s="39" t="s">
        <v>35</v>
      </c>
      <c r="B22" s="40" t="s">
        <v>22</v>
      </c>
      <c r="C22" s="41">
        <v>24.0</v>
      </c>
      <c r="D22" s="33">
        <v>5.060335632302E12</v>
      </c>
      <c r="E22" s="42">
        <v>1.3</v>
      </c>
      <c r="F22" s="35">
        <v>31.2</v>
      </c>
      <c r="G22" s="36">
        <v>3.0</v>
      </c>
      <c r="H22" s="43">
        <f t="shared" si="4"/>
        <v>1.425</v>
      </c>
      <c r="I22" s="43">
        <f t="shared" si="5"/>
        <v>34.2</v>
      </c>
      <c r="J22" s="37"/>
      <c r="K22" s="45">
        <f t="shared" si="6"/>
        <v>0</v>
      </c>
    </row>
    <row r="23" ht="15.0" customHeight="1">
      <c r="A23" s="39" t="s">
        <v>36</v>
      </c>
      <c r="B23" s="40" t="s">
        <v>22</v>
      </c>
      <c r="C23" s="41">
        <v>24.0</v>
      </c>
      <c r="D23" s="33">
        <v>5.060947542952E12</v>
      </c>
      <c r="E23" s="42">
        <v>1.3</v>
      </c>
      <c r="F23" s="35">
        <v>31.2</v>
      </c>
      <c r="G23" s="36">
        <v>3.0</v>
      </c>
      <c r="H23" s="43">
        <f t="shared" si="4"/>
        <v>1.425</v>
      </c>
      <c r="I23" s="43">
        <f t="shared" si="5"/>
        <v>34.2</v>
      </c>
      <c r="J23" s="37"/>
      <c r="K23" s="45">
        <f t="shared" si="6"/>
        <v>0</v>
      </c>
    </row>
    <row r="24" ht="15.0" customHeight="1">
      <c r="A24" s="39" t="s">
        <v>37</v>
      </c>
      <c r="B24" s="40" t="s">
        <v>22</v>
      </c>
      <c r="C24" s="41">
        <v>24.0</v>
      </c>
      <c r="D24" s="33">
        <v>5.061013945516E12</v>
      </c>
      <c r="E24" s="42">
        <v>1.3</v>
      </c>
      <c r="F24" s="35">
        <v>31.2</v>
      </c>
      <c r="G24" s="36">
        <v>3.0</v>
      </c>
      <c r="H24" s="43">
        <f t="shared" si="4"/>
        <v>1.425</v>
      </c>
      <c r="I24" s="43">
        <f t="shared" si="5"/>
        <v>34.2</v>
      </c>
      <c r="J24" s="37"/>
      <c r="K24" s="45">
        <f t="shared" si="6"/>
        <v>0</v>
      </c>
    </row>
    <row r="25" ht="15.0" customHeight="1">
      <c r="A25" s="39" t="s">
        <v>38</v>
      </c>
      <c r="B25" s="40" t="s">
        <v>22</v>
      </c>
      <c r="C25" s="41">
        <v>24.0</v>
      </c>
      <c r="D25" s="33">
        <v>5.060947546844E12</v>
      </c>
      <c r="E25" s="42">
        <v>1.3</v>
      </c>
      <c r="F25" s="35">
        <v>31.2</v>
      </c>
      <c r="G25" s="36">
        <v>3.0</v>
      </c>
      <c r="H25" s="43">
        <f t="shared" si="4"/>
        <v>1.425</v>
      </c>
      <c r="I25" s="43">
        <f t="shared" si="5"/>
        <v>34.2</v>
      </c>
      <c r="J25" s="37"/>
      <c r="K25" s="45">
        <f t="shared" si="6"/>
        <v>0</v>
      </c>
    </row>
    <row r="26" ht="15.0" customHeight="1">
      <c r="A26" s="39" t="s">
        <v>39</v>
      </c>
      <c r="B26" s="40" t="s">
        <v>22</v>
      </c>
      <c r="C26" s="41">
        <v>24.0</v>
      </c>
      <c r="D26" s="33">
        <v>5.060896622071E12</v>
      </c>
      <c r="E26" s="42">
        <v>1.3</v>
      </c>
      <c r="F26" s="35">
        <v>31.2</v>
      </c>
      <c r="G26" s="36">
        <v>3.0</v>
      </c>
      <c r="H26" s="43">
        <f t="shared" si="4"/>
        <v>1.425</v>
      </c>
      <c r="I26" s="43">
        <f t="shared" si="5"/>
        <v>34.2</v>
      </c>
      <c r="J26" s="37"/>
      <c r="K26" s="45">
        <f t="shared" si="6"/>
        <v>0</v>
      </c>
    </row>
    <row r="27" ht="15.0" customHeight="1">
      <c r="A27" s="39" t="s">
        <v>40</v>
      </c>
      <c r="B27" s="40" t="s">
        <v>22</v>
      </c>
      <c r="C27" s="41">
        <v>24.0</v>
      </c>
      <c r="D27" s="33">
        <v>5.060517889852E12</v>
      </c>
      <c r="E27" s="42">
        <v>1.3</v>
      </c>
      <c r="F27" s="35">
        <v>31.2</v>
      </c>
      <c r="G27" s="36">
        <v>3.0</v>
      </c>
      <c r="H27" s="43">
        <f t="shared" si="4"/>
        <v>1.425</v>
      </c>
      <c r="I27" s="43">
        <f t="shared" si="5"/>
        <v>34.2</v>
      </c>
      <c r="J27" s="37"/>
      <c r="K27" s="45">
        <f t="shared" si="6"/>
        <v>0</v>
      </c>
    </row>
    <row r="28" ht="15.0" customHeight="1">
      <c r="A28" s="39" t="s">
        <v>41</v>
      </c>
      <c r="B28" s="40" t="s">
        <v>22</v>
      </c>
      <c r="C28" s="41">
        <v>24.0</v>
      </c>
      <c r="D28" s="33">
        <v>5.060337507363E12</v>
      </c>
      <c r="E28" s="42">
        <v>1.3</v>
      </c>
      <c r="F28" s="35">
        <v>31.2</v>
      </c>
      <c r="G28" s="36">
        <v>3.0</v>
      </c>
      <c r="H28" s="43">
        <f t="shared" si="4"/>
        <v>1.425</v>
      </c>
      <c r="I28" s="43">
        <f t="shared" si="5"/>
        <v>34.2</v>
      </c>
      <c r="J28" s="37"/>
      <c r="K28" s="45">
        <f t="shared" si="6"/>
        <v>0</v>
      </c>
    </row>
    <row r="29" ht="15.0" customHeight="1">
      <c r="A29" s="39" t="s">
        <v>42</v>
      </c>
      <c r="B29" s="40" t="s">
        <v>22</v>
      </c>
      <c r="C29" s="41">
        <v>24.0</v>
      </c>
      <c r="D29" s="33">
        <v>5.060751215905E12</v>
      </c>
      <c r="E29" s="42">
        <v>1.3</v>
      </c>
      <c r="F29" s="35">
        <v>31.2</v>
      </c>
      <c r="G29" s="36">
        <v>3.0</v>
      </c>
      <c r="H29" s="43">
        <f t="shared" si="4"/>
        <v>1.425</v>
      </c>
      <c r="I29" s="43">
        <f t="shared" si="5"/>
        <v>34.2</v>
      </c>
      <c r="J29" s="37"/>
      <c r="K29" s="45">
        <f t="shared" si="6"/>
        <v>0</v>
      </c>
    </row>
    <row r="30" ht="15.0" customHeight="1">
      <c r="A30" s="39" t="s">
        <v>43</v>
      </c>
      <c r="B30" s="40" t="s">
        <v>22</v>
      </c>
      <c r="C30" s="41">
        <v>24.0</v>
      </c>
      <c r="D30" s="33">
        <v>5.060896622149E12</v>
      </c>
      <c r="E30" s="42">
        <v>1.3</v>
      </c>
      <c r="F30" s="35">
        <v>31.2</v>
      </c>
      <c r="G30" s="36">
        <v>3.0</v>
      </c>
      <c r="H30" s="43">
        <f t="shared" si="4"/>
        <v>1.425</v>
      </c>
      <c r="I30" s="43">
        <f t="shared" si="5"/>
        <v>34.2</v>
      </c>
      <c r="J30" s="37"/>
      <c r="K30" s="45">
        <f t="shared" si="6"/>
        <v>0</v>
      </c>
      <c r="P30" s="46"/>
    </row>
    <row r="31" ht="15.0" customHeight="1">
      <c r="A31" s="39" t="s">
        <v>44</v>
      </c>
      <c r="B31" s="40" t="s">
        <v>22</v>
      </c>
      <c r="C31" s="41">
        <v>24.0</v>
      </c>
      <c r="D31" s="33">
        <v>5.060639126125E12</v>
      </c>
      <c r="E31" s="42">
        <v>1.3</v>
      </c>
      <c r="F31" s="35">
        <v>31.2</v>
      </c>
      <c r="G31" s="36">
        <v>3.0</v>
      </c>
      <c r="H31" s="43">
        <f t="shared" si="4"/>
        <v>1.425</v>
      </c>
      <c r="I31" s="43">
        <f t="shared" si="5"/>
        <v>34.2</v>
      </c>
      <c r="J31" s="37"/>
      <c r="K31" s="45">
        <f t="shared" si="6"/>
        <v>0</v>
      </c>
    </row>
    <row r="32" ht="15.0" customHeight="1">
      <c r="A32" s="39" t="s">
        <v>45</v>
      </c>
      <c r="B32" s="40" t="s">
        <v>22</v>
      </c>
      <c r="C32" s="41">
        <v>24.0</v>
      </c>
      <c r="D32" s="33">
        <v>5.060517883539E12</v>
      </c>
      <c r="E32" s="42">
        <v>1.3</v>
      </c>
      <c r="F32" s="35">
        <v>31.2</v>
      </c>
      <c r="G32" s="36">
        <v>3.0</v>
      </c>
      <c r="H32" s="43">
        <f t="shared" si="4"/>
        <v>1.425</v>
      </c>
      <c r="I32" s="43">
        <f t="shared" si="5"/>
        <v>34.2</v>
      </c>
      <c r="J32" s="37"/>
      <c r="K32" s="45">
        <f t="shared" si="6"/>
        <v>0</v>
      </c>
    </row>
    <row r="33" ht="15.0" customHeight="1">
      <c r="A33" s="39" t="s">
        <v>46</v>
      </c>
      <c r="B33" s="40" t="s">
        <v>22</v>
      </c>
      <c r="C33" s="41">
        <v>24.0</v>
      </c>
      <c r="D33" s="33">
        <v>5.060335635365E12</v>
      </c>
      <c r="E33" s="42">
        <v>1.3</v>
      </c>
      <c r="F33" s="35">
        <v>31.2</v>
      </c>
      <c r="G33" s="36">
        <v>3.0</v>
      </c>
      <c r="H33" s="43">
        <f t="shared" si="4"/>
        <v>1.425</v>
      </c>
      <c r="I33" s="43">
        <f t="shared" si="5"/>
        <v>34.2</v>
      </c>
      <c r="J33" s="47"/>
      <c r="K33" s="45">
        <f t="shared" si="6"/>
        <v>0</v>
      </c>
      <c r="L33" s="46"/>
    </row>
    <row r="34" ht="15.0" customHeight="1">
      <c r="A34" s="48" t="s">
        <v>47</v>
      </c>
      <c r="B34" s="40" t="s">
        <v>22</v>
      </c>
      <c r="C34" s="41">
        <v>24.0</v>
      </c>
      <c r="D34" s="33">
        <v>5.060896621326E12</v>
      </c>
      <c r="E34" s="42">
        <v>1.3</v>
      </c>
      <c r="F34" s="35">
        <v>31.2</v>
      </c>
      <c r="G34" s="36">
        <v>3.0</v>
      </c>
      <c r="H34" s="43">
        <f t="shared" si="4"/>
        <v>1.425</v>
      </c>
      <c r="I34" s="43">
        <f t="shared" si="5"/>
        <v>34.2</v>
      </c>
      <c r="J34" s="47"/>
      <c r="K34" s="45">
        <f t="shared" si="6"/>
        <v>0</v>
      </c>
      <c r="L34" s="46"/>
    </row>
    <row r="35" ht="15.0" customHeight="1">
      <c r="A35" s="48" t="s">
        <v>48</v>
      </c>
      <c r="B35" s="40" t="s">
        <v>22</v>
      </c>
      <c r="C35" s="41">
        <v>24.0</v>
      </c>
      <c r="D35" s="33">
        <v>5.056784908662E12</v>
      </c>
      <c r="E35" s="42">
        <v>1.3</v>
      </c>
      <c r="F35" s="35">
        <v>31.2</v>
      </c>
      <c r="G35" s="36">
        <v>3.0</v>
      </c>
      <c r="H35" s="43">
        <f t="shared" si="4"/>
        <v>1.425</v>
      </c>
      <c r="I35" s="43">
        <f t="shared" si="5"/>
        <v>34.2</v>
      </c>
      <c r="J35" s="47"/>
      <c r="K35" s="45">
        <f t="shared" si="6"/>
        <v>0</v>
      </c>
      <c r="L35" s="46"/>
    </row>
    <row r="36" ht="15.0" customHeight="1">
      <c r="A36" s="48" t="s">
        <v>49</v>
      </c>
      <c r="B36" s="40" t="s">
        <v>22</v>
      </c>
      <c r="C36" s="41">
        <v>24.0</v>
      </c>
      <c r="D36" s="33">
        <v>5.056784902943E12</v>
      </c>
      <c r="E36" s="42">
        <v>1.35</v>
      </c>
      <c r="F36" s="35">
        <v>32.4</v>
      </c>
      <c r="G36" s="36">
        <v>3.0</v>
      </c>
      <c r="H36" s="43">
        <f t="shared" si="4"/>
        <v>1.475</v>
      </c>
      <c r="I36" s="43">
        <f t="shared" si="5"/>
        <v>35.4</v>
      </c>
      <c r="J36" s="37"/>
      <c r="K36" s="45">
        <f t="shared" si="6"/>
        <v>0</v>
      </c>
    </row>
    <row r="37" ht="15.0" customHeight="1">
      <c r="A37" s="48" t="s">
        <v>50</v>
      </c>
      <c r="B37" s="40" t="s">
        <v>22</v>
      </c>
      <c r="C37" s="41">
        <v>24.0</v>
      </c>
      <c r="D37" s="33">
        <v>5.056784907351E12</v>
      </c>
      <c r="E37" s="42">
        <v>1.35</v>
      </c>
      <c r="F37" s="35">
        <v>32.4</v>
      </c>
      <c r="G37" s="36">
        <v>3.0</v>
      </c>
      <c r="H37" s="43">
        <f t="shared" si="4"/>
        <v>1.475</v>
      </c>
      <c r="I37" s="43">
        <f t="shared" si="5"/>
        <v>35.4</v>
      </c>
      <c r="J37" s="37"/>
      <c r="K37" s="45">
        <f t="shared" si="6"/>
        <v>0</v>
      </c>
    </row>
    <row r="38" ht="15.0" customHeight="1">
      <c r="A38" s="48" t="s">
        <v>51</v>
      </c>
      <c r="B38" s="40" t="s">
        <v>22</v>
      </c>
      <c r="C38" s="41">
        <v>24.0</v>
      </c>
      <c r="D38" s="33">
        <v>5.056784905623E12</v>
      </c>
      <c r="E38" s="42">
        <v>1.35</v>
      </c>
      <c r="F38" s="35">
        <v>32.4</v>
      </c>
      <c r="G38" s="36">
        <v>3.0</v>
      </c>
      <c r="H38" s="43">
        <f t="shared" si="4"/>
        <v>1.475</v>
      </c>
      <c r="I38" s="43">
        <f t="shared" si="5"/>
        <v>35.4</v>
      </c>
      <c r="J38" s="37"/>
      <c r="K38" s="45">
        <f t="shared" si="6"/>
        <v>0</v>
      </c>
    </row>
    <row r="39" ht="15.0" customHeight="1">
      <c r="A39" s="49" t="s">
        <v>52</v>
      </c>
      <c r="B39" s="50"/>
      <c r="C39" s="50"/>
      <c r="D39" s="51"/>
      <c r="E39" s="34"/>
      <c r="F39" s="35"/>
      <c r="G39" s="36"/>
      <c r="H39" s="43"/>
      <c r="I39" s="43"/>
      <c r="J39" s="37"/>
      <c r="K39" s="45"/>
    </row>
    <row r="40" ht="15.0" customHeight="1">
      <c r="A40" s="52" t="s">
        <v>53</v>
      </c>
      <c r="B40" s="50" t="s">
        <v>22</v>
      </c>
      <c r="C40" s="50">
        <v>24.0</v>
      </c>
      <c r="D40" s="51" t="s">
        <v>54</v>
      </c>
      <c r="E40" s="42">
        <v>1.35</v>
      </c>
      <c r="F40" s="35">
        <v>32.4</v>
      </c>
      <c r="G40" s="36">
        <v>3.0</v>
      </c>
      <c r="H40" s="43">
        <f t="shared" ref="H40:H53" si="7">I40/C40</f>
        <v>1.475</v>
      </c>
      <c r="I40" s="43">
        <f t="shared" ref="I40:I42" si="8">F40+G40</f>
        <v>35.4</v>
      </c>
      <c r="J40" s="37"/>
      <c r="K40" s="45">
        <f t="shared" ref="K40:K53" si="9">I40*J40</f>
        <v>0</v>
      </c>
    </row>
    <row r="41" ht="15.0" customHeight="1">
      <c r="A41" s="52" t="s">
        <v>55</v>
      </c>
      <c r="B41" s="50" t="s">
        <v>22</v>
      </c>
      <c r="C41" s="50">
        <v>24.0</v>
      </c>
      <c r="D41" s="33">
        <v>5.061013945837E12</v>
      </c>
      <c r="E41" s="42">
        <v>1.35</v>
      </c>
      <c r="F41" s="35">
        <v>32.4</v>
      </c>
      <c r="G41" s="36">
        <v>3.0</v>
      </c>
      <c r="H41" s="43">
        <f t="shared" si="7"/>
        <v>1.475</v>
      </c>
      <c r="I41" s="43">
        <f t="shared" si="8"/>
        <v>35.4</v>
      </c>
      <c r="J41" s="37"/>
      <c r="K41" s="45">
        <f t="shared" si="9"/>
        <v>0</v>
      </c>
    </row>
    <row r="42" ht="15.0" customHeight="1">
      <c r="A42" s="52" t="s">
        <v>56</v>
      </c>
      <c r="B42" s="50" t="s">
        <v>22</v>
      </c>
      <c r="C42" s="50">
        <v>24.0</v>
      </c>
      <c r="D42" s="33">
        <v>5.061013946032E12</v>
      </c>
      <c r="E42" s="42">
        <v>1.35</v>
      </c>
      <c r="F42" s="35">
        <v>32.4</v>
      </c>
      <c r="G42" s="36">
        <v>3.0</v>
      </c>
      <c r="H42" s="43">
        <f t="shared" si="7"/>
        <v>1.475</v>
      </c>
      <c r="I42" s="43">
        <f t="shared" si="8"/>
        <v>35.4</v>
      </c>
      <c r="J42" s="37"/>
      <c r="K42" s="45">
        <f t="shared" si="9"/>
        <v>0</v>
      </c>
    </row>
    <row r="43" ht="15.0" customHeight="1">
      <c r="A43" s="53" t="s">
        <v>57</v>
      </c>
      <c r="B43" s="54" t="s">
        <v>22</v>
      </c>
      <c r="C43" s="54">
        <v>24.0</v>
      </c>
      <c r="D43" s="55">
        <v>5.060337501378E12</v>
      </c>
      <c r="E43" s="56">
        <v>1.45</v>
      </c>
      <c r="F43" s="57">
        <v>34.8</v>
      </c>
      <c r="G43" s="36">
        <v>3.0</v>
      </c>
      <c r="H43" s="43">
        <f t="shared" si="7"/>
        <v>1.575</v>
      </c>
      <c r="I43" s="43">
        <v>37.8</v>
      </c>
      <c r="J43" s="37"/>
      <c r="K43" s="45">
        <f t="shared" si="9"/>
        <v>0</v>
      </c>
    </row>
    <row r="44" ht="15.0" customHeight="1">
      <c r="A44" s="52" t="s">
        <v>58</v>
      </c>
      <c r="B44" s="58" t="s">
        <v>59</v>
      </c>
      <c r="C44" s="50">
        <v>24.0</v>
      </c>
      <c r="D44" s="51" t="s">
        <v>60</v>
      </c>
      <c r="E44" s="56">
        <v>2.75</v>
      </c>
      <c r="F44" s="57">
        <f t="shared" ref="F44:F45" si="10">E44*C44</f>
        <v>66</v>
      </c>
      <c r="G44" s="36">
        <v>3.0</v>
      </c>
      <c r="H44" s="43">
        <f t="shared" si="7"/>
        <v>2.875</v>
      </c>
      <c r="I44" s="43">
        <f t="shared" ref="I44:I53" si="11">F44+G44</f>
        <v>69</v>
      </c>
      <c r="J44" s="37"/>
      <c r="K44" s="45">
        <f t="shared" si="9"/>
        <v>0</v>
      </c>
    </row>
    <row r="45" ht="15.0" customHeight="1">
      <c r="A45" s="52" t="s">
        <v>61</v>
      </c>
      <c r="B45" s="58" t="s">
        <v>59</v>
      </c>
      <c r="C45" s="50">
        <v>24.0</v>
      </c>
      <c r="D45" s="51" t="s">
        <v>62</v>
      </c>
      <c r="E45" s="56">
        <v>2.95</v>
      </c>
      <c r="F45" s="57">
        <f t="shared" si="10"/>
        <v>70.8</v>
      </c>
      <c r="G45" s="36">
        <v>3.0</v>
      </c>
      <c r="H45" s="43">
        <f t="shared" si="7"/>
        <v>3.075</v>
      </c>
      <c r="I45" s="43">
        <f t="shared" si="11"/>
        <v>73.8</v>
      </c>
      <c r="J45" s="37"/>
      <c r="K45" s="45">
        <f t="shared" si="9"/>
        <v>0</v>
      </c>
    </row>
    <row r="46" ht="15.0" customHeight="1">
      <c r="A46" s="52" t="s">
        <v>63</v>
      </c>
      <c r="B46" s="58" t="s">
        <v>59</v>
      </c>
      <c r="C46" s="58">
        <v>24.0</v>
      </c>
      <c r="D46" s="59" t="s">
        <v>64</v>
      </c>
      <c r="E46" s="42">
        <v>2.95</v>
      </c>
      <c r="F46" s="35">
        <v>70.8</v>
      </c>
      <c r="G46" s="36">
        <v>3.0</v>
      </c>
      <c r="H46" s="43">
        <f t="shared" si="7"/>
        <v>3.075</v>
      </c>
      <c r="I46" s="43">
        <f t="shared" si="11"/>
        <v>73.8</v>
      </c>
      <c r="J46" s="37"/>
      <c r="K46" s="45">
        <f t="shared" si="9"/>
        <v>0</v>
      </c>
    </row>
    <row r="47" ht="15.0" customHeight="1">
      <c r="A47" s="60" t="s">
        <v>65</v>
      </c>
      <c r="B47" s="61" t="s">
        <v>59</v>
      </c>
      <c r="C47" s="62">
        <v>24.0</v>
      </c>
      <c r="D47" s="63" t="s">
        <v>66</v>
      </c>
      <c r="E47" s="64">
        <v>2.95</v>
      </c>
      <c r="F47" s="57">
        <f t="shared" ref="F47:F53" si="12">C47*E47</f>
        <v>70.8</v>
      </c>
      <c r="G47" s="36">
        <v>3.0</v>
      </c>
      <c r="H47" s="65">
        <f t="shared" si="7"/>
        <v>3.075</v>
      </c>
      <c r="I47" s="57">
        <f t="shared" si="11"/>
        <v>73.8</v>
      </c>
      <c r="J47" s="37"/>
      <c r="K47" s="45">
        <f t="shared" si="9"/>
        <v>0</v>
      </c>
    </row>
    <row r="48" ht="15.0" customHeight="1">
      <c r="A48" s="60" t="s">
        <v>67</v>
      </c>
      <c r="B48" s="61" t="s">
        <v>59</v>
      </c>
      <c r="C48" s="62">
        <v>24.0</v>
      </c>
      <c r="D48" s="66" t="s">
        <v>68</v>
      </c>
      <c r="E48" s="64">
        <v>2.95</v>
      </c>
      <c r="F48" s="57">
        <f t="shared" si="12"/>
        <v>70.8</v>
      </c>
      <c r="G48" s="36">
        <v>3.0</v>
      </c>
      <c r="H48" s="65">
        <f t="shared" si="7"/>
        <v>3.075</v>
      </c>
      <c r="I48" s="57">
        <f t="shared" si="11"/>
        <v>73.8</v>
      </c>
      <c r="J48" s="37"/>
      <c r="K48" s="45">
        <f t="shared" si="9"/>
        <v>0</v>
      </c>
    </row>
    <row r="49" ht="15.0" customHeight="1">
      <c r="A49" s="60" t="s">
        <v>69</v>
      </c>
      <c r="B49" s="61" t="s">
        <v>59</v>
      </c>
      <c r="C49" s="62">
        <v>24.0</v>
      </c>
      <c r="D49" s="67" t="s">
        <v>70</v>
      </c>
      <c r="E49" s="64">
        <v>2.95</v>
      </c>
      <c r="F49" s="57">
        <f t="shared" si="12"/>
        <v>70.8</v>
      </c>
      <c r="G49" s="36">
        <v>3.0</v>
      </c>
      <c r="H49" s="65">
        <f t="shared" si="7"/>
        <v>3.075</v>
      </c>
      <c r="I49" s="57">
        <f t="shared" si="11"/>
        <v>73.8</v>
      </c>
      <c r="J49" s="37"/>
      <c r="K49" s="45">
        <f t="shared" si="9"/>
        <v>0</v>
      </c>
    </row>
    <row r="50" ht="15.0" customHeight="1">
      <c r="A50" s="60" t="s">
        <v>71</v>
      </c>
      <c r="B50" s="61" t="s">
        <v>72</v>
      </c>
      <c r="C50" s="62">
        <v>24.0</v>
      </c>
      <c r="D50" s="67" t="s">
        <v>73</v>
      </c>
      <c r="E50" s="64">
        <v>2.75</v>
      </c>
      <c r="F50" s="57">
        <f t="shared" si="12"/>
        <v>66</v>
      </c>
      <c r="G50" s="36">
        <v>3.0</v>
      </c>
      <c r="H50" s="65">
        <f t="shared" si="7"/>
        <v>2.875</v>
      </c>
      <c r="I50" s="57">
        <f t="shared" si="11"/>
        <v>69</v>
      </c>
      <c r="J50" s="37"/>
      <c r="K50" s="45">
        <f t="shared" si="9"/>
        <v>0</v>
      </c>
    </row>
    <row r="51" ht="15.0" customHeight="1">
      <c r="A51" s="60" t="s">
        <v>74</v>
      </c>
      <c r="B51" s="61" t="s">
        <v>72</v>
      </c>
      <c r="C51" s="62">
        <v>24.0</v>
      </c>
      <c r="D51" s="67" t="s">
        <v>75</v>
      </c>
      <c r="E51" s="64">
        <v>2.75</v>
      </c>
      <c r="F51" s="57">
        <f t="shared" si="12"/>
        <v>66</v>
      </c>
      <c r="G51" s="36">
        <v>3.0</v>
      </c>
      <c r="H51" s="65">
        <f t="shared" si="7"/>
        <v>2.875</v>
      </c>
      <c r="I51" s="57">
        <f t="shared" si="11"/>
        <v>69</v>
      </c>
      <c r="J51" s="37"/>
      <c r="K51" s="45">
        <f t="shared" si="9"/>
        <v>0</v>
      </c>
    </row>
    <row r="52" ht="15.0" customHeight="1">
      <c r="A52" s="60" t="s">
        <v>76</v>
      </c>
      <c r="B52" s="61" t="s">
        <v>72</v>
      </c>
      <c r="C52" s="62">
        <v>24.0</v>
      </c>
      <c r="D52" s="68" t="s">
        <v>77</v>
      </c>
      <c r="E52" s="64">
        <v>2.75</v>
      </c>
      <c r="F52" s="57">
        <f t="shared" si="12"/>
        <v>66</v>
      </c>
      <c r="G52" s="36">
        <v>3.0</v>
      </c>
      <c r="H52" s="65">
        <f t="shared" si="7"/>
        <v>2.875</v>
      </c>
      <c r="I52" s="57">
        <f t="shared" si="11"/>
        <v>69</v>
      </c>
      <c r="J52" s="37"/>
      <c r="K52" s="45">
        <f t="shared" si="9"/>
        <v>0</v>
      </c>
    </row>
    <row r="53" ht="15.0" customHeight="1">
      <c r="A53" s="60" t="s">
        <v>78</v>
      </c>
      <c r="B53" s="61" t="s">
        <v>72</v>
      </c>
      <c r="C53" s="62">
        <v>24.0</v>
      </c>
      <c r="D53" s="67" t="s">
        <v>79</v>
      </c>
      <c r="E53" s="64">
        <v>2.75</v>
      </c>
      <c r="F53" s="57">
        <f t="shared" si="12"/>
        <v>66</v>
      </c>
      <c r="G53" s="36">
        <v>3.0</v>
      </c>
      <c r="H53" s="65">
        <f t="shared" si="7"/>
        <v>2.875</v>
      </c>
      <c r="I53" s="57">
        <f t="shared" si="11"/>
        <v>69</v>
      </c>
      <c r="J53" s="37"/>
      <c r="K53" s="45">
        <f t="shared" si="9"/>
        <v>0</v>
      </c>
    </row>
    <row r="54" ht="15.0" customHeight="1">
      <c r="A54" s="30" t="s">
        <v>80</v>
      </c>
      <c r="B54" s="31"/>
      <c r="C54" s="32"/>
      <c r="D54" s="33"/>
      <c r="E54" s="34"/>
      <c r="F54" s="35"/>
      <c r="G54" s="36"/>
      <c r="H54" s="43"/>
      <c r="I54" s="43"/>
      <c r="J54" s="37"/>
      <c r="K54" s="45"/>
    </row>
    <row r="55" ht="15.0" customHeight="1">
      <c r="A55" s="30" t="s">
        <v>81</v>
      </c>
      <c r="B55" s="31"/>
      <c r="C55" s="32"/>
      <c r="D55" s="33"/>
      <c r="E55" s="34"/>
      <c r="F55" s="35"/>
      <c r="G55" s="36"/>
      <c r="H55" s="43"/>
      <c r="I55" s="43"/>
      <c r="J55" s="37"/>
      <c r="K55" s="45"/>
    </row>
    <row r="56" ht="15.0" customHeight="1">
      <c r="A56" s="39" t="s">
        <v>82</v>
      </c>
      <c r="B56" s="40" t="s">
        <v>16</v>
      </c>
      <c r="C56" s="41">
        <v>24.0</v>
      </c>
      <c r="D56" s="33">
        <v>9.002490205973E12</v>
      </c>
      <c r="E56" s="42">
        <v>1.15</v>
      </c>
      <c r="F56" s="35">
        <v>27.6</v>
      </c>
      <c r="G56" s="36">
        <v>1.0</v>
      </c>
      <c r="H56" s="43">
        <f t="shared" ref="H56:H75" si="13">I56/C56</f>
        <v>1.191666667</v>
      </c>
      <c r="I56" s="43">
        <f t="shared" ref="I56:I75" si="14">F56+G56</f>
        <v>28.6</v>
      </c>
      <c r="J56" s="37"/>
      <c r="K56" s="45">
        <f t="shared" ref="K56:K75" si="15">I56*J56</f>
        <v>0</v>
      </c>
    </row>
    <row r="57" ht="15.0" customHeight="1">
      <c r="A57" s="39" t="s">
        <v>83</v>
      </c>
      <c r="B57" s="40" t="s">
        <v>16</v>
      </c>
      <c r="C57" s="41">
        <v>24.0</v>
      </c>
      <c r="D57" s="33" t="s">
        <v>84</v>
      </c>
      <c r="E57" s="42">
        <v>1.15</v>
      </c>
      <c r="F57" s="35">
        <v>27.6</v>
      </c>
      <c r="G57" s="36">
        <v>1.0</v>
      </c>
      <c r="H57" s="43">
        <f t="shared" si="13"/>
        <v>1.191666667</v>
      </c>
      <c r="I57" s="43">
        <f t="shared" si="14"/>
        <v>28.6</v>
      </c>
      <c r="J57" s="37"/>
      <c r="K57" s="45">
        <f t="shared" si="15"/>
        <v>0</v>
      </c>
    </row>
    <row r="58" ht="15.0" customHeight="1">
      <c r="A58" s="39" t="s">
        <v>85</v>
      </c>
      <c r="B58" s="40" t="s">
        <v>86</v>
      </c>
      <c r="C58" s="41">
        <v>24.0</v>
      </c>
      <c r="D58" s="33">
        <v>9.002490210717E12</v>
      </c>
      <c r="E58" s="42">
        <v>1.65</v>
      </c>
      <c r="F58" s="35">
        <v>39.6</v>
      </c>
      <c r="G58" s="36">
        <v>1.0</v>
      </c>
      <c r="H58" s="43">
        <f t="shared" si="13"/>
        <v>1.691666667</v>
      </c>
      <c r="I58" s="43">
        <f t="shared" si="14"/>
        <v>40.6</v>
      </c>
      <c r="J58" s="37"/>
      <c r="K58" s="45">
        <f t="shared" si="15"/>
        <v>0</v>
      </c>
    </row>
    <row r="59" ht="15.0" customHeight="1">
      <c r="A59" s="39" t="s">
        <v>87</v>
      </c>
      <c r="B59" s="40" t="s">
        <v>86</v>
      </c>
      <c r="C59" s="41">
        <v>24.0</v>
      </c>
      <c r="D59" s="33" t="s">
        <v>88</v>
      </c>
      <c r="E59" s="42">
        <v>1.65</v>
      </c>
      <c r="F59" s="35">
        <v>39.6</v>
      </c>
      <c r="G59" s="36">
        <v>1.0</v>
      </c>
      <c r="H59" s="43">
        <f t="shared" si="13"/>
        <v>1.691666667</v>
      </c>
      <c r="I59" s="43">
        <f t="shared" si="14"/>
        <v>40.6</v>
      </c>
      <c r="J59" s="37"/>
      <c r="K59" s="45">
        <f t="shared" si="15"/>
        <v>0</v>
      </c>
    </row>
    <row r="60" ht="15.0" customHeight="1">
      <c r="A60" s="39" t="s">
        <v>89</v>
      </c>
      <c r="B60" s="40" t="s">
        <v>59</v>
      </c>
      <c r="C60" s="41">
        <v>24.0</v>
      </c>
      <c r="D60" s="33">
        <v>9.002490214951E12</v>
      </c>
      <c r="E60" s="42">
        <v>2.15</v>
      </c>
      <c r="F60" s="35">
        <v>51.6</v>
      </c>
      <c r="G60" s="36">
        <v>1.0</v>
      </c>
      <c r="H60" s="43">
        <f t="shared" si="13"/>
        <v>2.191666667</v>
      </c>
      <c r="I60" s="43">
        <f t="shared" si="14"/>
        <v>52.6</v>
      </c>
      <c r="J60" s="37"/>
      <c r="K60" s="45">
        <f t="shared" si="15"/>
        <v>0</v>
      </c>
    </row>
    <row r="61" ht="15.0" customHeight="1">
      <c r="A61" s="39" t="s">
        <v>90</v>
      </c>
      <c r="B61" s="40" t="s">
        <v>16</v>
      </c>
      <c r="C61" s="41">
        <v>24.0</v>
      </c>
      <c r="D61" s="33">
        <v>9.002490255916E12</v>
      </c>
      <c r="E61" s="42">
        <v>1.22</v>
      </c>
      <c r="F61" s="35">
        <v>29.28</v>
      </c>
      <c r="G61" s="36">
        <v>1.0</v>
      </c>
      <c r="H61" s="43">
        <f t="shared" si="13"/>
        <v>1.261666667</v>
      </c>
      <c r="I61" s="43">
        <f t="shared" si="14"/>
        <v>30.28</v>
      </c>
      <c r="J61" s="37"/>
      <c r="K61" s="45">
        <f t="shared" si="15"/>
        <v>0</v>
      </c>
    </row>
    <row r="62" ht="15.0" customHeight="1">
      <c r="A62" s="39" t="s">
        <v>91</v>
      </c>
      <c r="B62" s="40" t="s">
        <v>16</v>
      </c>
      <c r="C62" s="41">
        <v>24.0</v>
      </c>
      <c r="D62" s="33">
        <v>9.002490246624E12</v>
      </c>
      <c r="E62" s="42">
        <v>1.22</v>
      </c>
      <c r="F62" s="35">
        <v>29.28</v>
      </c>
      <c r="G62" s="36">
        <v>1.0</v>
      </c>
      <c r="H62" s="43">
        <f t="shared" si="13"/>
        <v>1.261666667</v>
      </c>
      <c r="I62" s="43">
        <f t="shared" si="14"/>
        <v>30.28</v>
      </c>
      <c r="J62" s="37"/>
      <c r="K62" s="45">
        <f t="shared" si="15"/>
        <v>0</v>
      </c>
    </row>
    <row r="63" ht="15.0" customHeight="1">
      <c r="A63" s="39" t="s">
        <v>92</v>
      </c>
      <c r="B63" s="40" t="s">
        <v>16</v>
      </c>
      <c r="C63" s="41">
        <v>24.0</v>
      </c>
      <c r="D63" s="33">
        <v>9.002490255176E12</v>
      </c>
      <c r="E63" s="42">
        <v>1.22</v>
      </c>
      <c r="F63" s="35">
        <v>29.28</v>
      </c>
      <c r="G63" s="36">
        <v>1.0</v>
      </c>
      <c r="H63" s="43">
        <f t="shared" si="13"/>
        <v>1.261666667</v>
      </c>
      <c r="I63" s="43">
        <f t="shared" si="14"/>
        <v>30.28</v>
      </c>
      <c r="J63" s="37"/>
      <c r="K63" s="45">
        <f t="shared" si="15"/>
        <v>0</v>
      </c>
    </row>
    <row r="64" ht="15.0" customHeight="1">
      <c r="A64" s="39" t="s">
        <v>93</v>
      </c>
      <c r="B64" s="40" t="s">
        <v>16</v>
      </c>
      <c r="C64" s="41">
        <v>24.0</v>
      </c>
      <c r="D64" s="33">
        <v>9.002490263195E12</v>
      </c>
      <c r="E64" s="42">
        <v>1.22</v>
      </c>
      <c r="F64" s="35">
        <v>29.28</v>
      </c>
      <c r="G64" s="36">
        <v>1.0</v>
      </c>
      <c r="H64" s="43">
        <f t="shared" si="13"/>
        <v>1.261666667</v>
      </c>
      <c r="I64" s="43">
        <f t="shared" si="14"/>
        <v>30.28</v>
      </c>
      <c r="J64" s="37"/>
      <c r="K64" s="45">
        <f t="shared" si="15"/>
        <v>0</v>
      </c>
    </row>
    <row r="65" ht="15.0" customHeight="1">
      <c r="A65" s="39" t="s">
        <v>94</v>
      </c>
      <c r="B65" s="40" t="s">
        <v>16</v>
      </c>
      <c r="C65" s="41">
        <v>24.0</v>
      </c>
      <c r="D65" s="33">
        <v>9.002490219567E12</v>
      </c>
      <c r="E65" s="42">
        <v>1.22</v>
      </c>
      <c r="F65" s="35">
        <v>29.28</v>
      </c>
      <c r="G65" s="36">
        <v>1.0</v>
      </c>
      <c r="H65" s="43">
        <f t="shared" si="13"/>
        <v>1.261666667</v>
      </c>
      <c r="I65" s="43">
        <f t="shared" si="14"/>
        <v>30.28</v>
      </c>
      <c r="J65" s="37"/>
      <c r="K65" s="45">
        <f t="shared" si="15"/>
        <v>0</v>
      </c>
    </row>
    <row r="66" ht="15.0" customHeight="1">
      <c r="A66" s="39" t="s">
        <v>95</v>
      </c>
      <c r="B66" s="40" t="s">
        <v>16</v>
      </c>
      <c r="C66" s="41">
        <v>24.0</v>
      </c>
      <c r="D66" s="33">
        <v>9.002490246594E12</v>
      </c>
      <c r="E66" s="42">
        <v>1.22</v>
      </c>
      <c r="F66" s="35">
        <v>29.28</v>
      </c>
      <c r="G66" s="36">
        <v>1.0</v>
      </c>
      <c r="H66" s="43">
        <f t="shared" si="13"/>
        <v>1.261666667</v>
      </c>
      <c r="I66" s="43">
        <f t="shared" si="14"/>
        <v>30.28</v>
      </c>
      <c r="J66" s="37"/>
      <c r="K66" s="45">
        <f t="shared" si="15"/>
        <v>0</v>
      </c>
    </row>
    <row r="67" ht="15.0" customHeight="1">
      <c r="A67" s="39" t="s">
        <v>96</v>
      </c>
      <c r="B67" s="40" t="s">
        <v>16</v>
      </c>
      <c r="C67" s="41">
        <v>24.0</v>
      </c>
      <c r="D67" s="33">
        <v>9.002490278229E12</v>
      </c>
      <c r="E67" s="42">
        <v>1.25</v>
      </c>
      <c r="F67" s="35">
        <v>30.0</v>
      </c>
      <c r="G67" s="36">
        <v>1.0</v>
      </c>
      <c r="H67" s="43">
        <f t="shared" si="13"/>
        <v>1.291666667</v>
      </c>
      <c r="I67" s="43">
        <f t="shared" si="14"/>
        <v>31</v>
      </c>
      <c r="J67" s="37"/>
      <c r="K67" s="45">
        <f t="shared" si="15"/>
        <v>0</v>
      </c>
    </row>
    <row r="68" ht="15.0" customHeight="1">
      <c r="A68" s="69" t="s">
        <v>97</v>
      </c>
      <c r="B68" s="40" t="s">
        <v>16</v>
      </c>
      <c r="C68" s="41">
        <v>24.0</v>
      </c>
      <c r="D68" s="70">
        <v>9.00249027825E12</v>
      </c>
      <c r="E68" s="71">
        <v>1.3</v>
      </c>
      <c r="F68" s="57">
        <f>C68*E68</f>
        <v>31.2</v>
      </c>
      <c r="G68" s="36">
        <v>1.0</v>
      </c>
      <c r="H68" s="43">
        <f t="shared" si="13"/>
        <v>1.341666667</v>
      </c>
      <c r="I68" s="43">
        <f t="shared" si="14"/>
        <v>32.2</v>
      </c>
      <c r="J68" s="37"/>
      <c r="K68" s="45">
        <f t="shared" si="15"/>
        <v>0</v>
      </c>
    </row>
    <row r="69" ht="15.0" customHeight="1">
      <c r="A69" s="39" t="s">
        <v>98</v>
      </c>
      <c r="B69" s="40" t="s">
        <v>16</v>
      </c>
      <c r="C69" s="41">
        <v>24.0</v>
      </c>
      <c r="D69" s="33">
        <v>9.00249027825E12</v>
      </c>
      <c r="E69" s="42">
        <v>1.3</v>
      </c>
      <c r="F69" s="35">
        <v>31.2</v>
      </c>
      <c r="G69" s="36">
        <v>1.0</v>
      </c>
      <c r="H69" s="43">
        <f t="shared" si="13"/>
        <v>1.341666667</v>
      </c>
      <c r="I69" s="43">
        <f t="shared" si="14"/>
        <v>32.2</v>
      </c>
      <c r="J69" s="37"/>
      <c r="K69" s="45">
        <f t="shared" si="15"/>
        <v>0</v>
      </c>
    </row>
    <row r="70" ht="15.0" customHeight="1">
      <c r="A70" s="48" t="s">
        <v>99</v>
      </c>
      <c r="B70" s="40" t="s">
        <v>16</v>
      </c>
      <c r="C70" s="41">
        <v>24.0</v>
      </c>
      <c r="D70" s="33">
        <v>9.002490278281E12</v>
      </c>
      <c r="E70" s="42">
        <v>1.3</v>
      </c>
      <c r="F70" s="35">
        <v>31.2</v>
      </c>
      <c r="G70" s="36">
        <v>1.0</v>
      </c>
      <c r="H70" s="43">
        <f t="shared" si="13"/>
        <v>1.341666667</v>
      </c>
      <c r="I70" s="43">
        <f t="shared" si="14"/>
        <v>32.2</v>
      </c>
      <c r="J70" s="37"/>
      <c r="K70" s="45">
        <f t="shared" si="15"/>
        <v>0</v>
      </c>
    </row>
    <row r="71" ht="15.0" customHeight="1">
      <c r="A71" s="52" t="s">
        <v>100</v>
      </c>
      <c r="B71" s="58" t="s">
        <v>16</v>
      </c>
      <c r="C71" s="58">
        <v>24.0</v>
      </c>
      <c r="D71" s="72" t="s">
        <v>101</v>
      </c>
      <c r="E71" s="56">
        <v>1.3</v>
      </c>
      <c r="F71" s="58">
        <v>31.2</v>
      </c>
      <c r="G71" s="36">
        <v>1.0</v>
      </c>
      <c r="H71" s="43">
        <f t="shared" si="13"/>
        <v>1.341666667</v>
      </c>
      <c r="I71" s="43">
        <f t="shared" si="14"/>
        <v>32.2</v>
      </c>
      <c r="J71" s="73"/>
      <c r="K71" s="45">
        <f t="shared" si="15"/>
        <v>0</v>
      </c>
    </row>
    <row r="72" ht="15.0" customHeight="1">
      <c r="A72" s="69" t="s">
        <v>102</v>
      </c>
      <c r="B72" s="41" t="s">
        <v>16</v>
      </c>
      <c r="C72" s="41">
        <v>24.0</v>
      </c>
      <c r="D72" s="70">
        <v>9.002490290306E12</v>
      </c>
      <c r="E72" s="71">
        <v>1.45</v>
      </c>
      <c r="F72" s="57">
        <v>34.8</v>
      </c>
      <c r="G72" s="36">
        <v>1.0</v>
      </c>
      <c r="H72" s="43">
        <f t="shared" si="13"/>
        <v>1.491666667</v>
      </c>
      <c r="I72" s="43">
        <f t="shared" si="14"/>
        <v>35.8</v>
      </c>
      <c r="J72" s="37"/>
      <c r="K72" s="45">
        <f t="shared" si="15"/>
        <v>0</v>
      </c>
    </row>
    <row r="73" ht="15.0" customHeight="1">
      <c r="A73" s="39" t="s">
        <v>103</v>
      </c>
      <c r="B73" s="40" t="s">
        <v>16</v>
      </c>
      <c r="C73" s="41">
        <v>24.0</v>
      </c>
      <c r="D73" s="33">
        <v>9.002490208592E12</v>
      </c>
      <c r="E73" s="42">
        <v>1.22</v>
      </c>
      <c r="F73" s="35">
        <v>29.28</v>
      </c>
      <c r="G73" s="36">
        <v>1.0</v>
      </c>
      <c r="H73" s="43">
        <f t="shared" si="13"/>
        <v>1.261666667</v>
      </c>
      <c r="I73" s="43">
        <f t="shared" si="14"/>
        <v>30.28</v>
      </c>
      <c r="J73" s="37"/>
      <c r="K73" s="45">
        <f t="shared" si="15"/>
        <v>0</v>
      </c>
    </row>
    <row r="74" ht="15.0" customHeight="1">
      <c r="A74" s="39" t="s">
        <v>104</v>
      </c>
      <c r="B74" s="40" t="s">
        <v>16</v>
      </c>
      <c r="C74" s="41">
        <v>24.0</v>
      </c>
      <c r="D74" s="33" t="s">
        <v>105</v>
      </c>
      <c r="E74" s="42">
        <v>1.22</v>
      </c>
      <c r="F74" s="35">
        <v>29.28</v>
      </c>
      <c r="G74" s="36">
        <v>1.0</v>
      </c>
      <c r="H74" s="43">
        <f t="shared" si="13"/>
        <v>1.261666667</v>
      </c>
      <c r="I74" s="43">
        <f t="shared" si="14"/>
        <v>30.28</v>
      </c>
      <c r="J74" s="37"/>
      <c r="K74" s="45">
        <f t="shared" si="15"/>
        <v>0</v>
      </c>
    </row>
    <row r="75" ht="15.0" customHeight="1">
      <c r="A75" s="39" t="s">
        <v>106</v>
      </c>
      <c r="B75" s="40" t="s">
        <v>16</v>
      </c>
      <c r="C75" s="41">
        <v>24.0</v>
      </c>
      <c r="D75" s="33">
        <v>9.002490278151E12</v>
      </c>
      <c r="E75" s="42">
        <v>1.22</v>
      </c>
      <c r="F75" s="35">
        <v>29.28</v>
      </c>
      <c r="G75" s="36">
        <v>1.0</v>
      </c>
      <c r="H75" s="43">
        <f t="shared" si="13"/>
        <v>1.261666667</v>
      </c>
      <c r="I75" s="43">
        <f t="shared" si="14"/>
        <v>30.28</v>
      </c>
      <c r="J75" s="37"/>
      <c r="K75" s="45">
        <f t="shared" si="15"/>
        <v>0</v>
      </c>
    </row>
    <row r="76" ht="15.0" customHeight="1">
      <c r="A76" s="30" t="s">
        <v>107</v>
      </c>
      <c r="B76" s="31"/>
      <c r="C76" s="32"/>
      <c r="D76" s="33"/>
      <c r="E76" s="34"/>
      <c r="F76" s="35"/>
      <c r="G76" s="36"/>
      <c r="H76" s="43"/>
      <c r="I76" s="43"/>
      <c r="J76" s="37"/>
      <c r="K76" s="45"/>
    </row>
    <row r="77" ht="15.0" customHeight="1">
      <c r="A77" s="39" t="s">
        <v>108</v>
      </c>
      <c r="B77" s="40" t="s">
        <v>16</v>
      </c>
      <c r="C77" s="41">
        <v>24.0</v>
      </c>
      <c r="D77" s="33">
        <v>9.002490228071E12</v>
      </c>
      <c r="E77" s="42">
        <v>1.45</v>
      </c>
      <c r="F77" s="35">
        <v>34.8</v>
      </c>
      <c r="G77" s="36">
        <v>1.0</v>
      </c>
      <c r="H77" s="43">
        <f t="shared" ref="H77:H83" si="16">I77/C77</f>
        <v>1.491666667</v>
      </c>
      <c r="I77" s="43">
        <f t="shared" ref="I77:I83" si="17">F77+G77</f>
        <v>35.8</v>
      </c>
      <c r="J77" s="37"/>
      <c r="K77" s="45">
        <f t="shared" ref="K77:K83" si="18">I77*J77</f>
        <v>0</v>
      </c>
    </row>
    <row r="78" ht="15.0" customHeight="1">
      <c r="A78" s="39" t="s">
        <v>109</v>
      </c>
      <c r="B78" s="40" t="s">
        <v>16</v>
      </c>
      <c r="C78" s="41">
        <v>24.0</v>
      </c>
      <c r="D78" s="33" t="s">
        <v>110</v>
      </c>
      <c r="E78" s="42">
        <v>1.5</v>
      </c>
      <c r="F78" s="35">
        <v>36.0</v>
      </c>
      <c r="G78" s="36">
        <v>1.0</v>
      </c>
      <c r="H78" s="43">
        <f t="shared" si="16"/>
        <v>1.541666667</v>
      </c>
      <c r="I78" s="43">
        <f t="shared" si="17"/>
        <v>37</v>
      </c>
      <c r="J78" s="37"/>
      <c r="K78" s="45">
        <f t="shared" si="18"/>
        <v>0</v>
      </c>
    </row>
    <row r="79" ht="15.0" customHeight="1">
      <c r="A79" s="48" t="s">
        <v>111</v>
      </c>
      <c r="B79" s="40" t="s">
        <v>16</v>
      </c>
      <c r="C79" s="41">
        <v>24.0</v>
      </c>
      <c r="D79" s="33" t="s">
        <v>112</v>
      </c>
      <c r="E79" s="42">
        <v>1.5</v>
      </c>
      <c r="F79" s="35">
        <f>E79*C79</f>
        <v>36</v>
      </c>
      <c r="G79" s="36">
        <v>1.0</v>
      </c>
      <c r="H79" s="43">
        <f t="shared" si="16"/>
        <v>1.541666667</v>
      </c>
      <c r="I79" s="43">
        <f t="shared" si="17"/>
        <v>37</v>
      </c>
      <c r="J79" s="37"/>
      <c r="K79" s="45">
        <f t="shared" si="18"/>
        <v>0</v>
      </c>
    </row>
    <row r="80" ht="15.0" customHeight="1">
      <c r="A80" s="39" t="s">
        <v>113</v>
      </c>
      <c r="B80" s="40" t="s">
        <v>16</v>
      </c>
      <c r="C80" s="41">
        <v>24.0</v>
      </c>
      <c r="D80" s="33" t="s">
        <v>114</v>
      </c>
      <c r="E80" s="42">
        <v>1.5</v>
      </c>
      <c r="F80" s="35">
        <v>36.0</v>
      </c>
      <c r="G80" s="36">
        <v>1.0</v>
      </c>
      <c r="H80" s="43">
        <f t="shared" si="16"/>
        <v>1.541666667</v>
      </c>
      <c r="I80" s="43">
        <f t="shared" si="17"/>
        <v>37</v>
      </c>
      <c r="J80" s="37"/>
      <c r="K80" s="45">
        <f t="shared" si="18"/>
        <v>0</v>
      </c>
    </row>
    <row r="81" ht="15.0" customHeight="1">
      <c r="A81" s="52" t="s">
        <v>115</v>
      </c>
      <c r="B81" s="58" t="s">
        <v>16</v>
      </c>
      <c r="C81" s="58">
        <v>24.0</v>
      </c>
      <c r="D81" s="51" t="s">
        <v>116</v>
      </c>
      <c r="E81" s="56">
        <v>1.45</v>
      </c>
      <c r="F81" s="74">
        <v>34.8</v>
      </c>
      <c r="G81" s="36">
        <v>1.0</v>
      </c>
      <c r="H81" s="43">
        <f t="shared" si="16"/>
        <v>1.491666667</v>
      </c>
      <c r="I81" s="43">
        <f t="shared" si="17"/>
        <v>35.8</v>
      </c>
      <c r="J81" s="37"/>
      <c r="K81" s="45">
        <f t="shared" si="18"/>
        <v>0</v>
      </c>
    </row>
    <row r="82" ht="15.0" customHeight="1">
      <c r="A82" s="52" t="s">
        <v>117</v>
      </c>
      <c r="B82" s="58" t="s">
        <v>16</v>
      </c>
      <c r="C82" s="58">
        <v>24.0</v>
      </c>
      <c r="D82" s="72" t="s">
        <v>118</v>
      </c>
      <c r="E82" s="56">
        <v>1.55</v>
      </c>
      <c r="F82" s="74">
        <v>37.2</v>
      </c>
      <c r="G82" s="36">
        <v>1.0</v>
      </c>
      <c r="H82" s="43">
        <f t="shared" si="16"/>
        <v>1.591666667</v>
      </c>
      <c r="I82" s="43">
        <f t="shared" si="17"/>
        <v>38.2</v>
      </c>
      <c r="J82" s="37"/>
      <c r="K82" s="45">
        <f t="shared" si="18"/>
        <v>0</v>
      </c>
    </row>
    <row r="83" ht="15.0" customHeight="1">
      <c r="A83" s="52" t="s">
        <v>119</v>
      </c>
      <c r="B83" s="58" t="s">
        <v>16</v>
      </c>
      <c r="C83" s="58">
        <v>24.0</v>
      </c>
      <c r="D83" s="75" t="s">
        <v>120</v>
      </c>
      <c r="E83" s="56">
        <v>1.75</v>
      </c>
      <c r="F83" s="74">
        <v>42.0</v>
      </c>
      <c r="G83" s="36">
        <v>1.0</v>
      </c>
      <c r="H83" s="43">
        <f t="shared" si="16"/>
        <v>1.791666667</v>
      </c>
      <c r="I83" s="43">
        <f t="shared" si="17"/>
        <v>43</v>
      </c>
      <c r="J83" s="37"/>
      <c r="K83" s="45">
        <f t="shared" si="18"/>
        <v>0</v>
      </c>
    </row>
    <row r="84" ht="15.0" customHeight="1">
      <c r="A84" s="30" t="s">
        <v>121</v>
      </c>
      <c r="B84" s="58"/>
      <c r="C84" s="58"/>
      <c r="D84" s="51"/>
      <c r="E84" s="34"/>
      <c r="F84" s="74"/>
      <c r="G84" s="36"/>
      <c r="H84" s="43"/>
      <c r="I84" s="43"/>
      <c r="J84" s="37"/>
      <c r="K84" s="45"/>
    </row>
    <row r="85" ht="15.0" customHeight="1">
      <c r="A85" s="52" t="s">
        <v>122</v>
      </c>
      <c r="B85" s="58" t="s">
        <v>16</v>
      </c>
      <c r="C85" s="58">
        <v>24.0</v>
      </c>
      <c r="D85" s="51" t="s">
        <v>123</v>
      </c>
      <c r="E85" s="56">
        <v>1.59</v>
      </c>
      <c r="F85" s="74">
        <v>38.16</v>
      </c>
      <c r="G85" s="36">
        <v>1.0</v>
      </c>
      <c r="H85" s="43">
        <f t="shared" ref="H85:H91" si="19">I85/C85</f>
        <v>1.631666667</v>
      </c>
      <c r="I85" s="43">
        <f t="shared" ref="I85:I94" si="20">F85+G85</f>
        <v>39.16</v>
      </c>
      <c r="J85" s="37"/>
      <c r="K85" s="45">
        <f t="shared" ref="K85:K91" si="21">I85*J85</f>
        <v>0</v>
      </c>
    </row>
    <row r="86" ht="15.0" customHeight="1">
      <c r="A86" s="52" t="s">
        <v>124</v>
      </c>
      <c r="B86" s="58" t="s">
        <v>16</v>
      </c>
      <c r="C86" s="58">
        <v>24.0</v>
      </c>
      <c r="D86" s="51" t="s">
        <v>125</v>
      </c>
      <c r="E86" s="56">
        <v>1.59</v>
      </c>
      <c r="F86" s="74">
        <v>38.16</v>
      </c>
      <c r="G86" s="36">
        <v>1.0</v>
      </c>
      <c r="H86" s="43">
        <f t="shared" si="19"/>
        <v>1.631666667</v>
      </c>
      <c r="I86" s="43">
        <f t="shared" si="20"/>
        <v>39.16</v>
      </c>
      <c r="J86" s="37"/>
      <c r="K86" s="45">
        <f t="shared" si="21"/>
        <v>0</v>
      </c>
    </row>
    <row r="87" ht="15.0" customHeight="1">
      <c r="A87" s="52" t="s">
        <v>126</v>
      </c>
      <c r="B87" s="58" t="s">
        <v>16</v>
      </c>
      <c r="C87" s="58">
        <v>24.0</v>
      </c>
      <c r="D87" s="76" t="s">
        <v>127</v>
      </c>
      <c r="E87" s="56">
        <v>1.59</v>
      </c>
      <c r="F87" s="74">
        <v>38.16</v>
      </c>
      <c r="G87" s="36">
        <v>1.0</v>
      </c>
      <c r="H87" s="43">
        <f t="shared" si="19"/>
        <v>1.631666667</v>
      </c>
      <c r="I87" s="43">
        <f t="shared" si="20"/>
        <v>39.16</v>
      </c>
      <c r="J87" s="37"/>
      <c r="K87" s="45">
        <f t="shared" si="21"/>
        <v>0</v>
      </c>
    </row>
    <row r="88" ht="15.0" customHeight="1">
      <c r="A88" s="52" t="s">
        <v>128</v>
      </c>
      <c r="B88" s="58" t="s">
        <v>16</v>
      </c>
      <c r="C88" s="58">
        <v>24.0</v>
      </c>
      <c r="D88" s="51" t="s">
        <v>129</v>
      </c>
      <c r="E88" s="56">
        <v>1.69</v>
      </c>
      <c r="F88" s="74">
        <v>40.56</v>
      </c>
      <c r="G88" s="36">
        <v>1.0</v>
      </c>
      <c r="H88" s="43">
        <f t="shared" si="19"/>
        <v>1.731666667</v>
      </c>
      <c r="I88" s="43">
        <f t="shared" si="20"/>
        <v>41.56</v>
      </c>
      <c r="J88" s="37"/>
      <c r="K88" s="45">
        <f t="shared" si="21"/>
        <v>0</v>
      </c>
    </row>
    <row r="89" ht="15.0" customHeight="1">
      <c r="A89" s="69" t="s">
        <v>130</v>
      </c>
      <c r="B89" s="41" t="s">
        <v>16</v>
      </c>
      <c r="C89" s="41">
        <v>24.0</v>
      </c>
      <c r="D89" s="70">
        <v>8.850228007297E12</v>
      </c>
      <c r="E89" s="71">
        <v>1.89</v>
      </c>
      <c r="F89" s="57">
        <f t="shared" ref="F89:F91" si="22">C89*E89</f>
        <v>45.36</v>
      </c>
      <c r="G89" s="36">
        <v>1.0</v>
      </c>
      <c r="H89" s="43">
        <f t="shared" si="19"/>
        <v>1.931666667</v>
      </c>
      <c r="I89" s="43">
        <f t="shared" si="20"/>
        <v>46.36</v>
      </c>
      <c r="J89" s="37"/>
      <c r="K89" s="45">
        <f t="shared" si="21"/>
        <v>0</v>
      </c>
    </row>
    <row r="90" ht="15.0" customHeight="1">
      <c r="A90" s="69" t="s">
        <v>131</v>
      </c>
      <c r="B90" s="41" t="s">
        <v>16</v>
      </c>
      <c r="C90" s="41">
        <v>24.0</v>
      </c>
      <c r="D90" s="70">
        <v>4.560292291372E12</v>
      </c>
      <c r="E90" s="71">
        <v>2.19</v>
      </c>
      <c r="F90" s="57">
        <f t="shared" si="22"/>
        <v>52.56</v>
      </c>
      <c r="G90" s="36">
        <v>1.0</v>
      </c>
      <c r="H90" s="43">
        <f t="shared" si="19"/>
        <v>2.231666667</v>
      </c>
      <c r="I90" s="43">
        <f t="shared" si="20"/>
        <v>53.56</v>
      </c>
      <c r="J90" s="37"/>
      <c r="K90" s="45">
        <f t="shared" si="21"/>
        <v>0</v>
      </c>
    </row>
    <row r="91" ht="15.0" customHeight="1">
      <c r="A91" s="69" t="s">
        <v>132</v>
      </c>
      <c r="B91" s="41" t="s">
        <v>16</v>
      </c>
      <c r="C91" s="41">
        <v>24.0</v>
      </c>
      <c r="D91" s="70">
        <v>4.560292292478E12</v>
      </c>
      <c r="E91" s="71">
        <v>2.29</v>
      </c>
      <c r="F91" s="57">
        <f t="shared" si="22"/>
        <v>54.96</v>
      </c>
      <c r="G91" s="36">
        <v>1.0</v>
      </c>
      <c r="H91" s="43">
        <f t="shared" si="19"/>
        <v>2.331666667</v>
      </c>
      <c r="I91" s="43">
        <f t="shared" si="20"/>
        <v>55.96</v>
      </c>
      <c r="J91" s="37"/>
      <c r="K91" s="45">
        <f t="shared" si="21"/>
        <v>0</v>
      </c>
    </row>
    <row r="92" ht="15.0" customHeight="1">
      <c r="A92" s="30" t="s">
        <v>133</v>
      </c>
      <c r="B92" s="31"/>
      <c r="C92" s="32"/>
      <c r="D92" s="33"/>
      <c r="E92" s="34"/>
      <c r="F92" s="35"/>
      <c r="G92" s="36"/>
      <c r="H92" s="43"/>
      <c r="I92" s="43">
        <f t="shared" si="20"/>
        <v>0</v>
      </c>
      <c r="J92" s="37"/>
      <c r="K92" s="45"/>
    </row>
    <row r="93" ht="15.0" customHeight="1">
      <c r="A93" s="39" t="s">
        <v>134</v>
      </c>
      <c r="B93" s="40" t="s">
        <v>22</v>
      </c>
      <c r="C93" s="41">
        <v>24.0</v>
      </c>
      <c r="D93" s="33" t="s">
        <v>135</v>
      </c>
      <c r="E93" s="42">
        <v>1.0</v>
      </c>
      <c r="F93" s="35">
        <v>24.0</v>
      </c>
      <c r="G93" s="36">
        <v>1.0</v>
      </c>
      <c r="H93" s="43">
        <f t="shared" ref="H93:H94" si="23">I93/C93</f>
        <v>1.041666667</v>
      </c>
      <c r="I93" s="43">
        <f t="shared" si="20"/>
        <v>25</v>
      </c>
      <c r="J93" s="37"/>
      <c r="K93" s="45">
        <f t="shared" ref="K93:K94" si="24">I93*J93</f>
        <v>0</v>
      </c>
    </row>
    <row r="94" ht="15.0" customHeight="1">
      <c r="A94" s="39" t="s">
        <v>136</v>
      </c>
      <c r="B94" s="40" t="s">
        <v>22</v>
      </c>
      <c r="C94" s="41">
        <v>24.0</v>
      </c>
      <c r="D94" s="33" t="s">
        <v>137</v>
      </c>
      <c r="E94" s="42">
        <v>1.0</v>
      </c>
      <c r="F94" s="35">
        <v>24.0</v>
      </c>
      <c r="G94" s="36">
        <v>1.0</v>
      </c>
      <c r="H94" s="43">
        <f t="shared" si="23"/>
        <v>1.041666667</v>
      </c>
      <c r="I94" s="43">
        <f t="shared" si="20"/>
        <v>25</v>
      </c>
      <c r="J94" s="37"/>
      <c r="K94" s="45">
        <f t="shared" si="24"/>
        <v>0</v>
      </c>
    </row>
    <row r="95" ht="15.0" customHeight="1">
      <c r="A95" s="30" t="s">
        <v>138</v>
      </c>
      <c r="B95" s="77"/>
      <c r="C95" s="77"/>
      <c r="D95" s="78"/>
      <c r="E95" s="79"/>
      <c r="F95" s="79"/>
      <c r="G95" s="36"/>
      <c r="H95" s="43"/>
      <c r="I95" s="43"/>
      <c r="J95" s="37"/>
      <c r="K95" s="45"/>
    </row>
    <row r="96" ht="15.0" customHeight="1">
      <c r="A96" s="69" t="s">
        <v>139</v>
      </c>
      <c r="B96" s="41" t="s">
        <v>16</v>
      </c>
      <c r="C96" s="41">
        <v>24.0</v>
      </c>
      <c r="D96" s="70">
        <v>3.770026119181E12</v>
      </c>
      <c r="E96" s="80">
        <v>1.1</v>
      </c>
      <c r="F96" s="57">
        <f>C96*E96</f>
        <v>26.4</v>
      </c>
      <c r="G96" s="36">
        <v>1.0</v>
      </c>
      <c r="H96" s="43">
        <f>I96/C96</f>
        <v>1.141666667</v>
      </c>
      <c r="I96" s="43">
        <f t="shared" ref="I96:I106" si="25">F96+G96</f>
        <v>27.4</v>
      </c>
      <c r="J96" s="37"/>
      <c r="K96" s="45">
        <f>I96*J96</f>
        <v>0</v>
      </c>
    </row>
    <row r="97" ht="15.0" customHeight="1">
      <c r="A97" s="30" t="s">
        <v>140</v>
      </c>
      <c r="B97" s="31"/>
      <c r="C97" s="32"/>
      <c r="D97" s="33"/>
      <c r="E97" s="34"/>
      <c r="F97" s="35"/>
      <c r="G97" s="36"/>
      <c r="H97" s="43"/>
      <c r="I97" s="43">
        <f t="shared" si="25"/>
        <v>0</v>
      </c>
      <c r="J97" s="37"/>
      <c r="K97" s="45"/>
    </row>
    <row r="98" ht="15.0" customHeight="1">
      <c r="A98" s="48" t="s">
        <v>141</v>
      </c>
      <c r="B98" s="40" t="s">
        <v>16</v>
      </c>
      <c r="C98" s="41">
        <v>24.0</v>
      </c>
      <c r="D98" s="33">
        <v>8.855790000028E12</v>
      </c>
      <c r="E98" s="42">
        <v>0.95</v>
      </c>
      <c r="F98" s="35">
        <v>22.8</v>
      </c>
      <c r="G98" s="36">
        <v>1.0</v>
      </c>
      <c r="H98" s="43">
        <f>I98/C98</f>
        <v>0.9916666667</v>
      </c>
      <c r="I98" s="43">
        <f t="shared" si="25"/>
        <v>23.8</v>
      </c>
      <c r="J98" s="37"/>
      <c r="K98" s="45">
        <f>I98*J98</f>
        <v>0</v>
      </c>
    </row>
    <row r="99" ht="15.0" customHeight="1">
      <c r="A99" s="30" t="s">
        <v>142</v>
      </c>
      <c r="B99" s="31"/>
      <c r="C99" s="32"/>
      <c r="D99" s="33"/>
      <c r="E99" s="34"/>
      <c r="F99" s="35"/>
      <c r="G99" s="36"/>
      <c r="H99" s="43"/>
      <c r="I99" s="43">
        <f t="shared" si="25"/>
        <v>0</v>
      </c>
      <c r="J99" s="37"/>
      <c r="K99" s="45"/>
    </row>
    <row r="100" ht="15.0" customHeight="1">
      <c r="A100" s="39" t="s">
        <v>143</v>
      </c>
      <c r="B100" s="40" t="s">
        <v>22</v>
      </c>
      <c r="C100" s="41">
        <v>24.0</v>
      </c>
      <c r="D100" s="33">
        <v>3.551720206717E12</v>
      </c>
      <c r="E100" s="42">
        <v>1.0</v>
      </c>
      <c r="F100" s="35">
        <v>24.0</v>
      </c>
      <c r="G100" s="36">
        <v>2.0</v>
      </c>
      <c r="H100" s="43">
        <f t="shared" ref="H100:H106" si="26">I100/C100</f>
        <v>1.083333333</v>
      </c>
      <c r="I100" s="43">
        <f t="shared" si="25"/>
        <v>26</v>
      </c>
      <c r="J100" s="37"/>
      <c r="K100" s="45">
        <f t="shared" ref="K100:K106" si="27">I100*J100</f>
        <v>0</v>
      </c>
    </row>
    <row r="101" ht="15.0" customHeight="1">
      <c r="A101" s="39" t="s">
        <v>144</v>
      </c>
      <c r="B101" s="40" t="s">
        <v>22</v>
      </c>
      <c r="C101" s="41">
        <v>12.0</v>
      </c>
      <c r="D101" s="33">
        <v>3.760205598814E12</v>
      </c>
      <c r="E101" s="42">
        <v>1.1</v>
      </c>
      <c r="F101" s="35">
        <v>13.2</v>
      </c>
      <c r="G101" s="36">
        <v>1.0</v>
      </c>
      <c r="H101" s="43">
        <f t="shared" si="26"/>
        <v>1.183333333</v>
      </c>
      <c r="I101" s="43">
        <f t="shared" si="25"/>
        <v>14.2</v>
      </c>
      <c r="J101" s="37"/>
      <c r="K101" s="45">
        <f t="shared" si="27"/>
        <v>0</v>
      </c>
    </row>
    <row r="102" ht="15.0" customHeight="1">
      <c r="A102" s="39" t="s">
        <v>145</v>
      </c>
      <c r="B102" s="40" t="s">
        <v>22</v>
      </c>
      <c r="C102" s="41">
        <v>12.0</v>
      </c>
      <c r="D102" s="33">
        <v>3.760205598241E12</v>
      </c>
      <c r="E102" s="42">
        <v>1.1</v>
      </c>
      <c r="F102" s="35">
        <v>13.2</v>
      </c>
      <c r="G102" s="36">
        <v>1.0</v>
      </c>
      <c r="H102" s="43">
        <f t="shared" si="26"/>
        <v>1.183333333</v>
      </c>
      <c r="I102" s="43">
        <f t="shared" si="25"/>
        <v>14.2</v>
      </c>
      <c r="J102" s="37"/>
      <c r="K102" s="45">
        <f t="shared" si="27"/>
        <v>0</v>
      </c>
    </row>
    <row r="103" ht="15.0" customHeight="1">
      <c r="A103" s="39" t="s">
        <v>146</v>
      </c>
      <c r="B103" s="40" t="s">
        <v>22</v>
      </c>
      <c r="C103" s="41">
        <v>12.0</v>
      </c>
      <c r="D103" s="33">
        <v>3.760205599118E12</v>
      </c>
      <c r="E103" s="42">
        <v>1.1</v>
      </c>
      <c r="F103" s="35">
        <v>13.2</v>
      </c>
      <c r="G103" s="36">
        <v>1.0</v>
      </c>
      <c r="H103" s="43">
        <f t="shared" si="26"/>
        <v>1.183333333</v>
      </c>
      <c r="I103" s="43">
        <f t="shared" si="25"/>
        <v>14.2</v>
      </c>
      <c r="J103" s="37"/>
      <c r="K103" s="45">
        <f t="shared" si="27"/>
        <v>0</v>
      </c>
    </row>
    <row r="104" ht="15.0" customHeight="1">
      <c r="A104" s="39" t="s">
        <v>147</v>
      </c>
      <c r="B104" s="40" t="s">
        <v>18</v>
      </c>
      <c r="C104" s="41">
        <v>6.0</v>
      </c>
      <c r="D104" s="33">
        <v>3.760205590009E12</v>
      </c>
      <c r="E104" s="42">
        <v>1.85</v>
      </c>
      <c r="F104" s="35">
        <f t="shared" ref="F104:F106" si="28">E104*C104</f>
        <v>11.1</v>
      </c>
      <c r="G104" s="36">
        <v>1.0</v>
      </c>
      <c r="H104" s="43">
        <f t="shared" si="26"/>
        <v>2.016666667</v>
      </c>
      <c r="I104" s="43">
        <f t="shared" si="25"/>
        <v>12.1</v>
      </c>
      <c r="J104" s="37"/>
      <c r="K104" s="45">
        <f t="shared" si="27"/>
        <v>0</v>
      </c>
    </row>
    <row r="105" ht="15.0" customHeight="1">
      <c r="A105" s="39" t="s">
        <v>148</v>
      </c>
      <c r="B105" s="40" t="s">
        <v>18</v>
      </c>
      <c r="C105" s="41">
        <v>6.0</v>
      </c>
      <c r="D105" s="33">
        <v>3.551720206823E12</v>
      </c>
      <c r="E105" s="42">
        <v>1.85</v>
      </c>
      <c r="F105" s="35">
        <f t="shared" si="28"/>
        <v>11.1</v>
      </c>
      <c r="G105" s="36">
        <v>1.0</v>
      </c>
      <c r="H105" s="43">
        <f t="shared" si="26"/>
        <v>2.016666667</v>
      </c>
      <c r="I105" s="43">
        <f t="shared" si="25"/>
        <v>12.1</v>
      </c>
      <c r="J105" s="37"/>
      <c r="K105" s="45">
        <f t="shared" si="27"/>
        <v>0</v>
      </c>
    </row>
    <row r="106" ht="15.0" customHeight="1">
      <c r="A106" s="39" t="s">
        <v>149</v>
      </c>
      <c r="B106" s="40" t="s">
        <v>18</v>
      </c>
      <c r="C106" s="41">
        <v>6.0</v>
      </c>
      <c r="D106" s="33">
        <v>3.551720206854E12</v>
      </c>
      <c r="E106" s="42">
        <v>1.85</v>
      </c>
      <c r="F106" s="35">
        <f t="shared" si="28"/>
        <v>11.1</v>
      </c>
      <c r="G106" s="36">
        <v>1.0</v>
      </c>
      <c r="H106" s="43">
        <f t="shared" si="26"/>
        <v>2.016666667</v>
      </c>
      <c r="I106" s="43">
        <f t="shared" si="25"/>
        <v>12.1</v>
      </c>
      <c r="J106" s="37"/>
      <c r="K106" s="45">
        <f t="shared" si="27"/>
        <v>0</v>
      </c>
    </row>
    <row r="107" ht="15.0" customHeight="1">
      <c r="A107" s="23" t="s">
        <v>150</v>
      </c>
      <c r="B107" s="81"/>
      <c r="C107" s="82"/>
      <c r="D107" s="83"/>
      <c r="E107" s="84"/>
      <c r="F107" s="84"/>
      <c r="G107" s="85"/>
      <c r="H107" s="86"/>
      <c r="I107" s="86"/>
      <c r="J107" s="28"/>
      <c r="K107" s="86"/>
    </row>
    <row r="108" ht="15.0" customHeight="1">
      <c r="A108" s="30" t="s">
        <v>151</v>
      </c>
      <c r="B108" s="31"/>
      <c r="C108" s="32"/>
      <c r="D108" s="33"/>
      <c r="E108" s="34"/>
      <c r="F108" s="35"/>
      <c r="G108" s="36"/>
      <c r="H108" s="43"/>
      <c r="I108" s="43"/>
      <c r="J108" s="37"/>
      <c r="K108" s="45">
        <f t="shared" ref="K108:K126" si="29">I108*J108</f>
        <v>0</v>
      </c>
    </row>
    <row r="109" ht="15.0" customHeight="1">
      <c r="A109" s="87" t="s">
        <v>152</v>
      </c>
      <c r="B109" s="58" t="s">
        <v>153</v>
      </c>
      <c r="C109" s="58">
        <v>24.0</v>
      </c>
      <c r="D109" s="75" t="s">
        <v>154</v>
      </c>
      <c r="E109" s="56">
        <v>1.1</v>
      </c>
      <c r="F109" s="74">
        <v>26.4</v>
      </c>
      <c r="G109" s="36">
        <v>1.0</v>
      </c>
      <c r="H109" s="43">
        <f t="shared" ref="H109:H112" si="30">I109/C109</f>
        <v>1.141666667</v>
      </c>
      <c r="I109" s="43">
        <f t="shared" ref="I109:I112" si="31">F109+G109</f>
        <v>27.4</v>
      </c>
      <c r="J109" s="37"/>
      <c r="K109" s="45">
        <f t="shared" si="29"/>
        <v>0</v>
      </c>
    </row>
    <row r="110" ht="15.0" customHeight="1">
      <c r="A110" s="87" t="s">
        <v>155</v>
      </c>
      <c r="B110" s="58" t="s">
        <v>153</v>
      </c>
      <c r="C110" s="58">
        <v>24.0</v>
      </c>
      <c r="D110" s="75" t="s">
        <v>156</v>
      </c>
      <c r="E110" s="56">
        <v>1.1</v>
      </c>
      <c r="F110" s="74">
        <v>26.4</v>
      </c>
      <c r="G110" s="36">
        <v>1.0</v>
      </c>
      <c r="H110" s="43">
        <f t="shared" si="30"/>
        <v>1.141666667</v>
      </c>
      <c r="I110" s="43">
        <f t="shared" si="31"/>
        <v>27.4</v>
      </c>
      <c r="J110" s="37"/>
      <c r="K110" s="45">
        <f t="shared" si="29"/>
        <v>0</v>
      </c>
    </row>
    <row r="111" ht="15.0" customHeight="1">
      <c r="A111" s="87" t="s">
        <v>157</v>
      </c>
      <c r="B111" s="58" t="s">
        <v>153</v>
      </c>
      <c r="C111" s="58">
        <v>24.0</v>
      </c>
      <c r="D111" s="75" t="s">
        <v>158</v>
      </c>
      <c r="E111" s="56">
        <v>1.1</v>
      </c>
      <c r="F111" s="74">
        <v>26.4</v>
      </c>
      <c r="G111" s="36">
        <v>1.0</v>
      </c>
      <c r="H111" s="43">
        <f t="shared" si="30"/>
        <v>1.141666667</v>
      </c>
      <c r="I111" s="43">
        <f t="shared" si="31"/>
        <v>27.4</v>
      </c>
      <c r="J111" s="37"/>
      <c r="K111" s="45">
        <f t="shared" si="29"/>
        <v>0</v>
      </c>
    </row>
    <row r="112" ht="15.0" customHeight="1">
      <c r="A112" s="87" t="s">
        <v>159</v>
      </c>
      <c r="B112" s="58" t="s">
        <v>153</v>
      </c>
      <c r="C112" s="58">
        <v>24.0</v>
      </c>
      <c r="D112" s="75" t="s">
        <v>160</v>
      </c>
      <c r="E112" s="56">
        <v>1.1</v>
      </c>
      <c r="F112" s="74">
        <v>26.4</v>
      </c>
      <c r="G112" s="36">
        <v>1.0</v>
      </c>
      <c r="H112" s="43">
        <f t="shared" si="30"/>
        <v>1.141666667</v>
      </c>
      <c r="I112" s="43">
        <f t="shared" si="31"/>
        <v>27.4</v>
      </c>
      <c r="J112" s="37"/>
      <c r="K112" s="45">
        <f t="shared" si="29"/>
        <v>0</v>
      </c>
    </row>
    <row r="113" ht="15.0" customHeight="1">
      <c r="A113" s="88" t="s">
        <v>161</v>
      </c>
      <c r="B113" s="40"/>
      <c r="C113" s="41"/>
      <c r="D113" s="33"/>
      <c r="E113" s="42"/>
      <c r="F113" s="35"/>
      <c r="G113" s="36"/>
      <c r="H113" s="43"/>
      <c r="I113" s="43"/>
      <c r="J113" s="37"/>
      <c r="K113" s="45">
        <f t="shared" si="29"/>
        <v>0</v>
      </c>
    </row>
    <row r="114" ht="15.0" customHeight="1">
      <c r="A114" s="39" t="s">
        <v>162</v>
      </c>
      <c r="B114" s="40" t="s">
        <v>163</v>
      </c>
      <c r="C114" s="41">
        <v>24.0</v>
      </c>
      <c r="D114" s="33" t="s">
        <v>164</v>
      </c>
      <c r="E114" s="42">
        <v>0.95</v>
      </c>
      <c r="F114" s="35">
        <v>22.8</v>
      </c>
      <c r="G114" s="36">
        <v>1.0</v>
      </c>
      <c r="H114" s="43">
        <f t="shared" ref="H114:H126" si="32">I114/C114</f>
        <v>0.9916666667</v>
      </c>
      <c r="I114" s="43">
        <f t="shared" ref="I114:I126" si="33">F114+G114</f>
        <v>23.8</v>
      </c>
      <c r="J114" s="37"/>
      <c r="K114" s="45">
        <f t="shared" si="29"/>
        <v>0</v>
      </c>
    </row>
    <row r="115" ht="15.0" customHeight="1">
      <c r="A115" s="39" t="s">
        <v>165</v>
      </c>
      <c r="B115" s="40" t="s">
        <v>163</v>
      </c>
      <c r="C115" s="41">
        <v>24.0</v>
      </c>
      <c r="D115" s="33" t="s">
        <v>166</v>
      </c>
      <c r="E115" s="42">
        <v>0.95</v>
      </c>
      <c r="F115" s="35">
        <v>22.8</v>
      </c>
      <c r="G115" s="36">
        <v>1.0</v>
      </c>
      <c r="H115" s="43">
        <f t="shared" si="32"/>
        <v>0.9916666667</v>
      </c>
      <c r="I115" s="43">
        <f t="shared" si="33"/>
        <v>23.8</v>
      </c>
      <c r="J115" s="37"/>
      <c r="K115" s="45">
        <f t="shared" si="29"/>
        <v>0</v>
      </c>
    </row>
    <row r="116" ht="15.0" customHeight="1">
      <c r="A116" s="39" t="s">
        <v>167</v>
      </c>
      <c r="B116" s="40" t="s">
        <v>163</v>
      </c>
      <c r="C116" s="41">
        <v>24.0</v>
      </c>
      <c r="D116" s="33" t="s">
        <v>168</v>
      </c>
      <c r="E116" s="42">
        <v>0.95</v>
      </c>
      <c r="F116" s="35">
        <v>22.8</v>
      </c>
      <c r="G116" s="36">
        <v>1.0</v>
      </c>
      <c r="H116" s="43">
        <f t="shared" si="32"/>
        <v>0.9916666667</v>
      </c>
      <c r="I116" s="43">
        <f t="shared" si="33"/>
        <v>23.8</v>
      </c>
      <c r="J116" s="37"/>
      <c r="K116" s="45">
        <f t="shared" si="29"/>
        <v>0</v>
      </c>
    </row>
    <row r="117" ht="15.0" customHeight="1">
      <c r="A117" s="39" t="s">
        <v>169</v>
      </c>
      <c r="B117" s="40" t="s">
        <v>163</v>
      </c>
      <c r="C117" s="41">
        <v>24.0</v>
      </c>
      <c r="D117" s="33" t="s">
        <v>170</v>
      </c>
      <c r="E117" s="42">
        <v>0.95</v>
      </c>
      <c r="F117" s="35">
        <v>22.8</v>
      </c>
      <c r="G117" s="36">
        <v>1.0</v>
      </c>
      <c r="H117" s="43">
        <f t="shared" si="32"/>
        <v>0.9916666667</v>
      </c>
      <c r="I117" s="43">
        <f t="shared" si="33"/>
        <v>23.8</v>
      </c>
      <c r="J117" s="37"/>
      <c r="K117" s="45">
        <f t="shared" si="29"/>
        <v>0</v>
      </c>
    </row>
    <row r="118" ht="15.0" customHeight="1">
      <c r="A118" s="39" t="s">
        <v>171</v>
      </c>
      <c r="B118" s="40" t="s">
        <v>163</v>
      </c>
      <c r="C118" s="41">
        <v>24.0</v>
      </c>
      <c r="D118" s="33" t="s">
        <v>172</v>
      </c>
      <c r="E118" s="42">
        <v>0.95</v>
      </c>
      <c r="F118" s="35">
        <v>22.8</v>
      </c>
      <c r="G118" s="36">
        <v>1.0</v>
      </c>
      <c r="H118" s="43">
        <f t="shared" si="32"/>
        <v>0.9916666667</v>
      </c>
      <c r="I118" s="43">
        <f t="shared" si="33"/>
        <v>23.8</v>
      </c>
      <c r="J118" s="37"/>
      <c r="K118" s="45">
        <f t="shared" si="29"/>
        <v>0</v>
      </c>
    </row>
    <row r="119" ht="15.0" customHeight="1">
      <c r="A119" s="39" t="s">
        <v>173</v>
      </c>
      <c r="B119" s="40" t="s">
        <v>163</v>
      </c>
      <c r="C119" s="41">
        <v>24.0</v>
      </c>
      <c r="D119" s="33" t="s">
        <v>174</v>
      </c>
      <c r="E119" s="42">
        <v>0.95</v>
      </c>
      <c r="F119" s="35">
        <v>22.8</v>
      </c>
      <c r="G119" s="36">
        <v>1.0</v>
      </c>
      <c r="H119" s="43">
        <f t="shared" si="32"/>
        <v>0.9916666667</v>
      </c>
      <c r="I119" s="43">
        <f t="shared" si="33"/>
        <v>23.8</v>
      </c>
      <c r="J119" s="37"/>
      <c r="K119" s="45">
        <f t="shared" si="29"/>
        <v>0</v>
      </c>
    </row>
    <row r="120" ht="15.0" customHeight="1">
      <c r="A120" s="39" t="s">
        <v>175</v>
      </c>
      <c r="B120" s="40" t="s">
        <v>163</v>
      </c>
      <c r="C120" s="41">
        <v>24.0</v>
      </c>
      <c r="D120" s="33" t="s">
        <v>176</v>
      </c>
      <c r="E120" s="42">
        <v>0.95</v>
      </c>
      <c r="F120" s="35">
        <v>22.8</v>
      </c>
      <c r="G120" s="36">
        <v>1.0</v>
      </c>
      <c r="H120" s="43">
        <f t="shared" si="32"/>
        <v>0.9916666667</v>
      </c>
      <c r="I120" s="43">
        <f t="shared" si="33"/>
        <v>23.8</v>
      </c>
      <c r="J120" s="37"/>
      <c r="K120" s="45">
        <f t="shared" si="29"/>
        <v>0</v>
      </c>
    </row>
    <row r="121" ht="15.0" customHeight="1">
      <c r="A121" s="39" t="s">
        <v>177</v>
      </c>
      <c r="B121" s="40" t="s">
        <v>163</v>
      </c>
      <c r="C121" s="41">
        <v>24.0</v>
      </c>
      <c r="D121" s="33" t="s">
        <v>178</v>
      </c>
      <c r="E121" s="42">
        <v>0.95</v>
      </c>
      <c r="F121" s="35">
        <v>22.8</v>
      </c>
      <c r="G121" s="36">
        <v>1.0</v>
      </c>
      <c r="H121" s="43">
        <f t="shared" si="32"/>
        <v>0.9916666667</v>
      </c>
      <c r="I121" s="43">
        <f t="shared" si="33"/>
        <v>23.8</v>
      </c>
      <c r="J121" s="37"/>
      <c r="K121" s="45">
        <f t="shared" si="29"/>
        <v>0</v>
      </c>
    </row>
    <row r="122" ht="15.0" customHeight="1">
      <c r="A122" s="39" t="s">
        <v>179</v>
      </c>
      <c r="B122" s="40" t="s">
        <v>163</v>
      </c>
      <c r="C122" s="41">
        <v>24.0</v>
      </c>
      <c r="D122" s="33" t="s">
        <v>180</v>
      </c>
      <c r="E122" s="42">
        <v>0.95</v>
      </c>
      <c r="F122" s="35">
        <v>22.8</v>
      </c>
      <c r="G122" s="36">
        <v>1.0</v>
      </c>
      <c r="H122" s="43">
        <f t="shared" si="32"/>
        <v>0.9916666667</v>
      </c>
      <c r="I122" s="43">
        <f t="shared" si="33"/>
        <v>23.8</v>
      </c>
      <c r="J122" s="37"/>
      <c r="K122" s="45">
        <f t="shared" si="29"/>
        <v>0</v>
      </c>
    </row>
    <row r="123" ht="15.0" customHeight="1">
      <c r="A123" s="39" t="s">
        <v>181</v>
      </c>
      <c r="B123" s="40" t="s">
        <v>163</v>
      </c>
      <c r="C123" s="41">
        <v>24.0</v>
      </c>
      <c r="D123" s="33" t="s">
        <v>182</v>
      </c>
      <c r="E123" s="42">
        <v>0.95</v>
      </c>
      <c r="F123" s="35">
        <v>22.8</v>
      </c>
      <c r="G123" s="36">
        <v>1.0</v>
      </c>
      <c r="H123" s="43">
        <f t="shared" si="32"/>
        <v>0.9916666667</v>
      </c>
      <c r="I123" s="43">
        <f t="shared" si="33"/>
        <v>23.8</v>
      </c>
      <c r="J123" s="37"/>
      <c r="K123" s="45">
        <f t="shared" si="29"/>
        <v>0</v>
      </c>
    </row>
    <row r="124" ht="15.0" customHeight="1">
      <c r="A124" s="39" t="s">
        <v>183</v>
      </c>
      <c r="B124" s="40" t="s">
        <v>163</v>
      </c>
      <c r="C124" s="41">
        <v>24.0</v>
      </c>
      <c r="D124" s="33" t="s">
        <v>184</v>
      </c>
      <c r="E124" s="42">
        <v>0.95</v>
      </c>
      <c r="F124" s="35">
        <v>22.8</v>
      </c>
      <c r="G124" s="36">
        <v>1.0</v>
      </c>
      <c r="H124" s="43">
        <f t="shared" si="32"/>
        <v>0.9916666667</v>
      </c>
      <c r="I124" s="43">
        <f t="shared" si="33"/>
        <v>23.8</v>
      </c>
      <c r="J124" s="37"/>
      <c r="K124" s="45">
        <f t="shared" si="29"/>
        <v>0</v>
      </c>
    </row>
    <row r="125" ht="15.0" customHeight="1">
      <c r="A125" s="39" t="s">
        <v>185</v>
      </c>
      <c r="B125" s="40" t="s">
        <v>163</v>
      </c>
      <c r="C125" s="41">
        <v>24.0</v>
      </c>
      <c r="D125" s="33" t="s">
        <v>186</v>
      </c>
      <c r="E125" s="42">
        <v>0.95</v>
      </c>
      <c r="F125" s="35">
        <v>22.8</v>
      </c>
      <c r="G125" s="36">
        <v>1.0</v>
      </c>
      <c r="H125" s="43">
        <f t="shared" si="32"/>
        <v>0.9916666667</v>
      </c>
      <c r="I125" s="43">
        <f t="shared" si="33"/>
        <v>23.8</v>
      </c>
      <c r="J125" s="37"/>
      <c r="K125" s="45">
        <f t="shared" si="29"/>
        <v>0</v>
      </c>
    </row>
    <row r="126" ht="15.0" customHeight="1">
      <c r="A126" s="48" t="s">
        <v>187</v>
      </c>
      <c r="B126" s="58" t="s">
        <v>163</v>
      </c>
      <c r="C126" s="58">
        <v>24.0</v>
      </c>
      <c r="D126" s="72" t="s">
        <v>188</v>
      </c>
      <c r="E126" s="56">
        <v>0.95</v>
      </c>
      <c r="F126" s="74">
        <v>22.8</v>
      </c>
      <c r="G126" s="36">
        <v>1.0</v>
      </c>
      <c r="H126" s="43">
        <f t="shared" si="32"/>
        <v>0.9916666667</v>
      </c>
      <c r="I126" s="43">
        <f t="shared" si="33"/>
        <v>23.8</v>
      </c>
      <c r="J126" s="37"/>
      <c r="K126" s="45">
        <f t="shared" si="29"/>
        <v>0</v>
      </c>
    </row>
    <row r="127" ht="15.0" customHeight="1">
      <c r="A127" s="30" t="s">
        <v>189</v>
      </c>
      <c r="B127" s="77"/>
      <c r="C127" s="77"/>
      <c r="D127" s="78"/>
      <c r="E127" s="79"/>
      <c r="F127" s="79"/>
      <c r="G127" s="36"/>
      <c r="H127" s="43"/>
      <c r="I127" s="43"/>
      <c r="J127" s="37"/>
      <c r="K127" s="45"/>
    </row>
    <row r="128" ht="15.0" customHeight="1">
      <c r="A128" s="89" t="s">
        <v>190</v>
      </c>
      <c r="B128" s="40" t="s">
        <v>153</v>
      </c>
      <c r="C128" s="41">
        <v>24.0</v>
      </c>
      <c r="D128" s="70">
        <v>3.770024718003E12</v>
      </c>
      <c r="E128" s="64">
        <v>1.7</v>
      </c>
      <c r="F128" s="57">
        <f>C128*E128</f>
        <v>40.8</v>
      </c>
      <c r="G128" s="36">
        <v>1.0</v>
      </c>
      <c r="H128" s="43">
        <f>I128/C128</f>
        <v>1.741666667</v>
      </c>
      <c r="I128" s="43">
        <f>F128+G128</f>
        <v>41.8</v>
      </c>
      <c r="J128" s="37"/>
      <c r="K128" s="45">
        <f>I128*J128</f>
        <v>0</v>
      </c>
    </row>
    <row r="129" ht="15.0" customHeight="1">
      <c r="A129" s="30" t="s">
        <v>191</v>
      </c>
      <c r="B129" s="31"/>
      <c r="C129" s="32"/>
      <c r="D129" s="33"/>
      <c r="E129" s="34"/>
      <c r="F129" s="35"/>
      <c r="G129" s="36"/>
      <c r="H129" s="43"/>
      <c r="I129" s="43"/>
      <c r="J129" s="37"/>
      <c r="K129" s="45"/>
    </row>
    <row r="130" ht="15.0" customHeight="1">
      <c r="A130" s="48" t="s">
        <v>192</v>
      </c>
      <c r="B130" s="40" t="s">
        <v>153</v>
      </c>
      <c r="C130" s="41">
        <v>24.0</v>
      </c>
      <c r="D130" s="33">
        <v>3.760269851047E12</v>
      </c>
      <c r="E130" s="42">
        <v>1.25</v>
      </c>
      <c r="F130" s="35">
        <f t="shared" ref="F130:F133" si="34">E130*C130</f>
        <v>30</v>
      </c>
      <c r="G130" s="36">
        <v>1.0</v>
      </c>
      <c r="H130" s="43">
        <f t="shared" ref="H130:H133" si="35">I130/C130</f>
        <v>1.291666667</v>
      </c>
      <c r="I130" s="43">
        <f t="shared" ref="I130:I133" si="36">F130+G130</f>
        <v>31</v>
      </c>
      <c r="J130" s="37"/>
      <c r="K130" s="45">
        <f t="shared" ref="K130:K133" si="37">I130*J130</f>
        <v>0</v>
      </c>
    </row>
    <row r="131" ht="15.0" customHeight="1">
      <c r="A131" s="48" t="s">
        <v>193</v>
      </c>
      <c r="B131" s="40" t="s">
        <v>153</v>
      </c>
      <c r="C131" s="41">
        <v>24.0</v>
      </c>
      <c r="D131" s="33">
        <v>3.760269851184E12</v>
      </c>
      <c r="E131" s="42">
        <v>1.25</v>
      </c>
      <c r="F131" s="35">
        <f t="shared" si="34"/>
        <v>30</v>
      </c>
      <c r="G131" s="36">
        <v>1.0</v>
      </c>
      <c r="H131" s="43">
        <f t="shared" si="35"/>
        <v>1.291666667</v>
      </c>
      <c r="I131" s="43">
        <f t="shared" si="36"/>
        <v>31</v>
      </c>
      <c r="J131" s="37"/>
      <c r="K131" s="45">
        <f t="shared" si="37"/>
        <v>0</v>
      </c>
    </row>
    <row r="132" ht="15.0" customHeight="1">
      <c r="A132" s="48" t="s">
        <v>194</v>
      </c>
      <c r="B132" s="40" t="s">
        <v>153</v>
      </c>
      <c r="C132" s="41">
        <v>24.0</v>
      </c>
      <c r="D132" s="33">
        <v>3.760269851207E12</v>
      </c>
      <c r="E132" s="42">
        <v>1.25</v>
      </c>
      <c r="F132" s="35">
        <f t="shared" si="34"/>
        <v>30</v>
      </c>
      <c r="G132" s="36">
        <v>1.0</v>
      </c>
      <c r="H132" s="43">
        <f t="shared" si="35"/>
        <v>1.291666667</v>
      </c>
      <c r="I132" s="43">
        <f t="shared" si="36"/>
        <v>31</v>
      </c>
      <c r="J132" s="37"/>
      <c r="K132" s="45">
        <f t="shared" si="37"/>
        <v>0</v>
      </c>
    </row>
    <row r="133" ht="15.0" customHeight="1">
      <c r="A133" s="48" t="s">
        <v>195</v>
      </c>
      <c r="B133" s="40" t="s">
        <v>153</v>
      </c>
      <c r="C133" s="41">
        <v>24.0</v>
      </c>
      <c r="D133" s="33">
        <v>3.760269851221E12</v>
      </c>
      <c r="E133" s="42">
        <v>1.25</v>
      </c>
      <c r="F133" s="35">
        <f t="shared" si="34"/>
        <v>30</v>
      </c>
      <c r="G133" s="36">
        <v>1.0</v>
      </c>
      <c r="H133" s="43">
        <f t="shared" si="35"/>
        <v>1.291666667</v>
      </c>
      <c r="I133" s="43">
        <f t="shared" si="36"/>
        <v>31</v>
      </c>
      <c r="J133" s="37"/>
      <c r="K133" s="45">
        <f t="shared" si="37"/>
        <v>0</v>
      </c>
    </row>
    <row r="134" ht="15.0" customHeight="1">
      <c r="A134" s="30" t="s">
        <v>196</v>
      </c>
      <c r="B134" s="31"/>
      <c r="C134" s="32"/>
      <c r="D134" s="33"/>
      <c r="E134" s="34"/>
      <c r="F134" s="35"/>
      <c r="G134" s="36"/>
      <c r="H134" s="43"/>
      <c r="I134" s="43"/>
      <c r="J134" s="37"/>
      <c r="K134" s="45"/>
    </row>
    <row r="135" ht="15.0" customHeight="1">
      <c r="A135" s="39" t="s">
        <v>197</v>
      </c>
      <c r="B135" s="40" t="s">
        <v>198</v>
      </c>
      <c r="C135" s="41">
        <v>24.0</v>
      </c>
      <c r="D135" s="33">
        <v>3.760287010174E12</v>
      </c>
      <c r="E135" s="42">
        <v>0.6</v>
      </c>
      <c r="F135" s="35">
        <v>14.4</v>
      </c>
      <c r="G135" s="36">
        <v>1.0</v>
      </c>
      <c r="H135" s="43">
        <f t="shared" ref="H135:H136" si="38">I135/C135</f>
        <v>0.6416666667</v>
      </c>
      <c r="I135" s="43">
        <f t="shared" ref="I135:I136" si="39">F135+G135</f>
        <v>15.4</v>
      </c>
      <c r="J135" s="37"/>
      <c r="K135" s="45">
        <f t="shared" ref="K135:K136" si="40">I135*J135</f>
        <v>0</v>
      </c>
    </row>
    <row r="136" ht="15.0" customHeight="1">
      <c r="A136" s="39" t="s">
        <v>199</v>
      </c>
      <c r="B136" s="40" t="s">
        <v>198</v>
      </c>
      <c r="C136" s="41">
        <v>24.0</v>
      </c>
      <c r="D136" s="33">
        <v>3.760287010167E12</v>
      </c>
      <c r="E136" s="42">
        <v>0.6</v>
      </c>
      <c r="F136" s="35">
        <v>14.4</v>
      </c>
      <c r="G136" s="36">
        <v>1.0</v>
      </c>
      <c r="H136" s="43">
        <f t="shared" si="38"/>
        <v>0.6416666667</v>
      </c>
      <c r="I136" s="43">
        <f t="shared" si="39"/>
        <v>15.4</v>
      </c>
      <c r="J136" s="37"/>
      <c r="K136" s="45">
        <f t="shared" si="40"/>
        <v>0</v>
      </c>
    </row>
    <row r="137" ht="15.0" customHeight="1">
      <c r="A137" s="30" t="s">
        <v>200</v>
      </c>
      <c r="B137" s="31"/>
      <c r="C137" s="32"/>
      <c r="D137" s="33"/>
      <c r="E137" s="34"/>
      <c r="F137" s="35"/>
      <c r="G137" s="36"/>
      <c r="H137" s="43"/>
      <c r="I137" s="43"/>
      <c r="J137" s="37"/>
      <c r="K137" s="45"/>
    </row>
    <row r="138" ht="15.0" customHeight="1">
      <c r="A138" s="53" t="s">
        <v>201</v>
      </c>
      <c r="B138" s="58" t="s">
        <v>198</v>
      </c>
      <c r="C138" s="58">
        <v>24.0</v>
      </c>
      <c r="D138" s="51">
        <v>9.015340103534E12</v>
      </c>
      <c r="E138" s="56">
        <v>0.75</v>
      </c>
      <c r="F138" s="74">
        <v>18.0</v>
      </c>
      <c r="G138" s="36">
        <v>1.0</v>
      </c>
      <c r="H138" s="43">
        <f t="shared" ref="H138:H140" si="41">I138/C138</f>
        <v>0.7916666667</v>
      </c>
      <c r="I138" s="43">
        <f t="shared" ref="I138:I140" si="42">F138+G138</f>
        <v>19</v>
      </c>
      <c r="J138" s="37"/>
      <c r="K138" s="45">
        <f t="shared" ref="K138:K140" si="43">I138*J138</f>
        <v>0</v>
      </c>
    </row>
    <row r="139" ht="15.0" customHeight="1">
      <c r="A139" s="53" t="s">
        <v>202</v>
      </c>
      <c r="B139" s="58" t="s">
        <v>198</v>
      </c>
      <c r="C139" s="58">
        <v>24.0</v>
      </c>
      <c r="D139" s="51">
        <v>9.01534010351E12</v>
      </c>
      <c r="E139" s="56">
        <v>0.75</v>
      </c>
      <c r="F139" s="74">
        <v>18.0</v>
      </c>
      <c r="G139" s="36">
        <v>1.0</v>
      </c>
      <c r="H139" s="43">
        <f t="shared" si="41"/>
        <v>0.7916666667</v>
      </c>
      <c r="I139" s="43">
        <f t="shared" si="42"/>
        <v>19</v>
      </c>
      <c r="J139" s="37"/>
      <c r="K139" s="45">
        <f t="shared" si="43"/>
        <v>0</v>
      </c>
    </row>
    <row r="140" ht="15.0" customHeight="1">
      <c r="A140" s="53" t="s">
        <v>203</v>
      </c>
      <c r="B140" s="58" t="s">
        <v>198</v>
      </c>
      <c r="C140" s="58">
        <v>24.0</v>
      </c>
      <c r="D140" s="90">
        <v>9.015340103558E12</v>
      </c>
      <c r="E140" s="56">
        <v>0.75</v>
      </c>
      <c r="F140" s="74">
        <v>18.0</v>
      </c>
      <c r="G140" s="36">
        <v>1.0</v>
      </c>
      <c r="H140" s="43">
        <f t="shared" si="41"/>
        <v>0.7916666667</v>
      </c>
      <c r="I140" s="43">
        <f t="shared" si="42"/>
        <v>19</v>
      </c>
      <c r="J140" s="37"/>
      <c r="K140" s="45">
        <f t="shared" si="43"/>
        <v>0</v>
      </c>
    </row>
    <row r="141" ht="15.0" customHeight="1">
      <c r="A141" s="30" t="s">
        <v>204</v>
      </c>
      <c r="B141" s="77"/>
      <c r="C141" s="77"/>
      <c r="D141" s="78"/>
      <c r="E141" s="79"/>
      <c r="F141" s="79"/>
      <c r="G141" s="36">
        <v>1.0</v>
      </c>
      <c r="H141" s="43"/>
      <c r="I141" s="43"/>
      <c r="J141" s="37"/>
      <c r="K141" s="45"/>
    </row>
    <row r="142" ht="15.0" customHeight="1">
      <c r="A142" s="69" t="s">
        <v>205</v>
      </c>
      <c r="B142" s="41" t="s">
        <v>206</v>
      </c>
      <c r="C142" s="41">
        <v>24.0</v>
      </c>
      <c r="D142" s="70">
        <v>3.770035055067E12</v>
      </c>
      <c r="E142" s="80">
        <v>1.55</v>
      </c>
      <c r="F142" s="57">
        <f t="shared" ref="F142:F148" si="44">C142*E142</f>
        <v>37.2</v>
      </c>
      <c r="G142" s="36">
        <v>1.0</v>
      </c>
      <c r="H142" s="43">
        <f t="shared" ref="H142:H148" si="45">I142/C142</f>
        <v>1.591666667</v>
      </c>
      <c r="I142" s="43">
        <f t="shared" ref="I142:I148" si="46">F142+G142</f>
        <v>38.2</v>
      </c>
      <c r="J142" s="37"/>
      <c r="K142" s="45">
        <f t="shared" ref="K142:K148" si="47">I142*J142</f>
        <v>0</v>
      </c>
    </row>
    <row r="143" ht="15.0" customHeight="1">
      <c r="A143" s="69" t="s">
        <v>207</v>
      </c>
      <c r="B143" s="41" t="s">
        <v>206</v>
      </c>
      <c r="C143" s="41">
        <v>24.0</v>
      </c>
      <c r="D143" s="70">
        <v>3.770035055036E12</v>
      </c>
      <c r="E143" s="80">
        <v>1.55</v>
      </c>
      <c r="F143" s="57">
        <f t="shared" si="44"/>
        <v>37.2</v>
      </c>
      <c r="G143" s="36">
        <v>1.0</v>
      </c>
      <c r="H143" s="43">
        <f t="shared" si="45"/>
        <v>1.591666667</v>
      </c>
      <c r="I143" s="43">
        <f t="shared" si="46"/>
        <v>38.2</v>
      </c>
      <c r="J143" s="37"/>
      <c r="K143" s="45">
        <f t="shared" si="47"/>
        <v>0</v>
      </c>
    </row>
    <row r="144" ht="15.0" customHeight="1">
      <c r="A144" s="69" t="s">
        <v>208</v>
      </c>
      <c r="B144" s="41" t="s">
        <v>206</v>
      </c>
      <c r="C144" s="41">
        <v>24.0</v>
      </c>
      <c r="D144" s="70">
        <v>3.770035055029E12</v>
      </c>
      <c r="E144" s="80">
        <v>1.55</v>
      </c>
      <c r="F144" s="57">
        <f t="shared" si="44"/>
        <v>37.2</v>
      </c>
      <c r="G144" s="36">
        <v>1.0</v>
      </c>
      <c r="H144" s="43">
        <f t="shared" si="45"/>
        <v>1.591666667</v>
      </c>
      <c r="I144" s="43">
        <f t="shared" si="46"/>
        <v>38.2</v>
      </c>
      <c r="J144" s="37"/>
      <c r="K144" s="45">
        <f t="shared" si="47"/>
        <v>0</v>
      </c>
    </row>
    <row r="145" ht="15.0" customHeight="1">
      <c r="A145" s="69" t="s">
        <v>209</v>
      </c>
      <c r="B145" s="41" t="s">
        <v>206</v>
      </c>
      <c r="C145" s="41">
        <v>24.0</v>
      </c>
      <c r="D145" s="70">
        <v>3.770035055036E12</v>
      </c>
      <c r="E145" s="80">
        <v>1.55</v>
      </c>
      <c r="F145" s="57">
        <f t="shared" si="44"/>
        <v>37.2</v>
      </c>
      <c r="G145" s="36">
        <v>1.0</v>
      </c>
      <c r="H145" s="43">
        <f t="shared" si="45"/>
        <v>1.591666667</v>
      </c>
      <c r="I145" s="43">
        <f t="shared" si="46"/>
        <v>38.2</v>
      </c>
      <c r="J145" s="37"/>
      <c r="K145" s="45">
        <f t="shared" si="47"/>
        <v>0</v>
      </c>
    </row>
    <row r="146" ht="15.0" customHeight="1">
      <c r="A146" s="69" t="s">
        <v>210</v>
      </c>
      <c r="B146" s="41" t="s">
        <v>206</v>
      </c>
      <c r="C146" s="41">
        <v>24.0</v>
      </c>
      <c r="D146" s="70">
        <v>3.770035055012E12</v>
      </c>
      <c r="E146" s="80">
        <v>1.55</v>
      </c>
      <c r="F146" s="57">
        <f t="shared" si="44"/>
        <v>37.2</v>
      </c>
      <c r="G146" s="36">
        <v>1.0</v>
      </c>
      <c r="H146" s="43">
        <f t="shared" si="45"/>
        <v>1.591666667</v>
      </c>
      <c r="I146" s="43">
        <f t="shared" si="46"/>
        <v>38.2</v>
      </c>
      <c r="J146" s="37"/>
      <c r="K146" s="45">
        <f t="shared" si="47"/>
        <v>0</v>
      </c>
    </row>
    <row r="147" ht="15.0" customHeight="1">
      <c r="A147" s="69" t="s">
        <v>211</v>
      </c>
      <c r="B147" s="41" t="s">
        <v>206</v>
      </c>
      <c r="C147" s="41">
        <v>24.0</v>
      </c>
      <c r="D147" s="70">
        <v>3.77003505505E12</v>
      </c>
      <c r="E147" s="80">
        <v>1.55</v>
      </c>
      <c r="F147" s="57">
        <f t="shared" si="44"/>
        <v>37.2</v>
      </c>
      <c r="G147" s="36">
        <v>1.0</v>
      </c>
      <c r="H147" s="43">
        <f t="shared" si="45"/>
        <v>1.591666667</v>
      </c>
      <c r="I147" s="43">
        <f t="shared" si="46"/>
        <v>38.2</v>
      </c>
      <c r="J147" s="37"/>
      <c r="K147" s="45">
        <f t="shared" si="47"/>
        <v>0</v>
      </c>
    </row>
    <row r="148" ht="15.0" customHeight="1">
      <c r="A148" s="69" t="s">
        <v>212</v>
      </c>
      <c r="B148" s="41" t="s">
        <v>206</v>
      </c>
      <c r="C148" s="41">
        <v>24.0</v>
      </c>
      <c r="D148" s="70">
        <v>3.770035055074E12</v>
      </c>
      <c r="E148" s="80">
        <v>1.55</v>
      </c>
      <c r="F148" s="57">
        <f t="shared" si="44"/>
        <v>37.2</v>
      </c>
      <c r="G148" s="36">
        <v>1.0</v>
      </c>
      <c r="H148" s="43">
        <f t="shared" si="45"/>
        <v>1.591666667</v>
      </c>
      <c r="I148" s="43">
        <f t="shared" si="46"/>
        <v>38.2</v>
      </c>
      <c r="J148" s="37"/>
      <c r="K148" s="45">
        <f t="shared" si="47"/>
        <v>0</v>
      </c>
    </row>
    <row r="149" ht="15.0" customHeight="1">
      <c r="A149" s="30" t="s">
        <v>213</v>
      </c>
      <c r="B149" s="31"/>
      <c r="C149" s="32"/>
      <c r="D149" s="33"/>
      <c r="E149" s="34"/>
      <c r="F149" s="35"/>
      <c r="G149" s="36"/>
      <c r="H149" s="43"/>
      <c r="I149" s="43"/>
      <c r="J149" s="37"/>
      <c r="K149" s="45"/>
    </row>
    <row r="150" ht="15.0" customHeight="1">
      <c r="A150" s="39" t="s">
        <v>214</v>
      </c>
      <c r="B150" s="40" t="s">
        <v>215</v>
      </c>
      <c r="C150" s="41">
        <v>24.0</v>
      </c>
      <c r="D150" s="33">
        <v>3.760287010327E12</v>
      </c>
      <c r="E150" s="42">
        <v>1.05</v>
      </c>
      <c r="F150" s="35">
        <v>25.2</v>
      </c>
      <c r="G150" s="36">
        <v>1.0</v>
      </c>
      <c r="H150" s="43">
        <f t="shared" ref="H150:H158" si="48">I150/C150</f>
        <v>1.091666667</v>
      </c>
      <c r="I150" s="43">
        <f t="shared" ref="I150:I158" si="49">F150+G150</f>
        <v>26.2</v>
      </c>
      <c r="J150" s="37"/>
      <c r="K150" s="45">
        <f t="shared" ref="K150:K158" si="50">I150*J150</f>
        <v>0</v>
      </c>
    </row>
    <row r="151" ht="15.0" customHeight="1">
      <c r="A151" s="39" t="s">
        <v>216</v>
      </c>
      <c r="B151" s="40" t="s">
        <v>215</v>
      </c>
      <c r="C151" s="41">
        <v>24.0</v>
      </c>
      <c r="D151" s="33">
        <v>3.760287010303E12</v>
      </c>
      <c r="E151" s="42">
        <v>1.05</v>
      </c>
      <c r="F151" s="35">
        <v>25.2</v>
      </c>
      <c r="G151" s="36">
        <v>1.0</v>
      </c>
      <c r="H151" s="43">
        <f t="shared" si="48"/>
        <v>1.091666667</v>
      </c>
      <c r="I151" s="43">
        <f t="shared" si="49"/>
        <v>26.2</v>
      </c>
      <c r="J151" s="37"/>
      <c r="K151" s="45">
        <f t="shared" si="50"/>
        <v>0</v>
      </c>
    </row>
    <row r="152" ht="15.0" customHeight="1">
      <c r="A152" s="39" t="s">
        <v>217</v>
      </c>
      <c r="B152" s="40" t="s">
        <v>215</v>
      </c>
      <c r="C152" s="41">
        <v>24.0</v>
      </c>
      <c r="D152" s="33">
        <v>3.760287010235E12</v>
      </c>
      <c r="E152" s="42">
        <v>1.05</v>
      </c>
      <c r="F152" s="35">
        <v>25.2</v>
      </c>
      <c r="G152" s="36">
        <v>1.0</v>
      </c>
      <c r="H152" s="43">
        <f t="shared" si="48"/>
        <v>1.091666667</v>
      </c>
      <c r="I152" s="43">
        <f t="shared" si="49"/>
        <v>26.2</v>
      </c>
      <c r="J152" s="37"/>
      <c r="K152" s="45">
        <f t="shared" si="50"/>
        <v>0</v>
      </c>
    </row>
    <row r="153" ht="15.0" customHeight="1">
      <c r="A153" s="39" t="s">
        <v>218</v>
      </c>
      <c r="B153" s="40" t="s">
        <v>215</v>
      </c>
      <c r="C153" s="41">
        <v>24.0</v>
      </c>
      <c r="D153" s="33">
        <v>3.76028701028E12</v>
      </c>
      <c r="E153" s="42">
        <v>1.05</v>
      </c>
      <c r="F153" s="35">
        <v>25.2</v>
      </c>
      <c r="G153" s="36">
        <v>1.0</v>
      </c>
      <c r="H153" s="43">
        <f t="shared" si="48"/>
        <v>1.091666667</v>
      </c>
      <c r="I153" s="43">
        <f t="shared" si="49"/>
        <v>26.2</v>
      </c>
      <c r="J153" s="37"/>
      <c r="K153" s="45">
        <f t="shared" si="50"/>
        <v>0</v>
      </c>
    </row>
    <row r="154" ht="15.0" customHeight="1">
      <c r="A154" s="39" t="s">
        <v>219</v>
      </c>
      <c r="B154" s="40" t="s">
        <v>215</v>
      </c>
      <c r="C154" s="41">
        <v>24.0</v>
      </c>
      <c r="D154" s="33">
        <v>3.760287010297E12</v>
      </c>
      <c r="E154" s="42">
        <v>1.05</v>
      </c>
      <c r="F154" s="35">
        <v>25.2</v>
      </c>
      <c r="G154" s="36">
        <v>1.0</v>
      </c>
      <c r="H154" s="43">
        <f t="shared" si="48"/>
        <v>1.091666667</v>
      </c>
      <c r="I154" s="43">
        <f t="shared" si="49"/>
        <v>26.2</v>
      </c>
      <c r="J154" s="37"/>
      <c r="K154" s="45">
        <f t="shared" si="50"/>
        <v>0</v>
      </c>
    </row>
    <row r="155" ht="15.0" customHeight="1">
      <c r="A155" s="39" t="s">
        <v>220</v>
      </c>
      <c r="B155" s="40" t="s">
        <v>215</v>
      </c>
      <c r="C155" s="41">
        <v>24.0</v>
      </c>
      <c r="D155" s="33">
        <v>3.760287010266E12</v>
      </c>
      <c r="E155" s="42">
        <v>1.05</v>
      </c>
      <c r="F155" s="35">
        <v>25.2</v>
      </c>
      <c r="G155" s="36">
        <v>1.0</v>
      </c>
      <c r="H155" s="43">
        <f t="shared" si="48"/>
        <v>1.091666667</v>
      </c>
      <c r="I155" s="43">
        <f t="shared" si="49"/>
        <v>26.2</v>
      </c>
      <c r="J155" s="37"/>
      <c r="K155" s="45">
        <f t="shared" si="50"/>
        <v>0</v>
      </c>
    </row>
    <row r="156" ht="15.0" customHeight="1">
      <c r="A156" s="39" t="s">
        <v>221</v>
      </c>
      <c r="B156" s="40" t="s">
        <v>215</v>
      </c>
      <c r="C156" s="41">
        <v>24.0</v>
      </c>
      <c r="D156" s="33">
        <v>3.760287010259E12</v>
      </c>
      <c r="E156" s="42">
        <v>1.05</v>
      </c>
      <c r="F156" s="35">
        <v>25.2</v>
      </c>
      <c r="G156" s="36">
        <v>1.0</v>
      </c>
      <c r="H156" s="43">
        <f t="shared" si="48"/>
        <v>1.091666667</v>
      </c>
      <c r="I156" s="43">
        <f t="shared" si="49"/>
        <v>26.2</v>
      </c>
      <c r="J156" s="37"/>
      <c r="K156" s="45">
        <f t="shared" si="50"/>
        <v>0</v>
      </c>
    </row>
    <row r="157" ht="15.0" customHeight="1">
      <c r="A157" s="39" t="s">
        <v>222</v>
      </c>
      <c r="B157" s="40" t="s">
        <v>215</v>
      </c>
      <c r="C157" s="41">
        <v>24.0</v>
      </c>
      <c r="D157" s="33">
        <v>3.760287010273E12</v>
      </c>
      <c r="E157" s="42">
        <v>1.05</v>
      </c>
      <c r="F157" s="35">
        <v>25.2</v>
      </c>
      <c r="G157" s="36">
        <v>1.0</v>
      </c>
      <c r="H157" s="43">
        <f t="shared" si="48"/>
        <v>1.091666667</v>
      </c>
      <c r="I157" s="43">
        <f t="shared" si="49"/>
        <v>26.2</v>
      </c>
      <c r="J157" s="37"/>
      <c r="K157" s="45">
        <f t="shared" si="50"/>
        <v>0</v>
      </c>
    </row>
    <row r="158" ht="15.0" customHeight="1">
      <c r="A158" s="39" t="s">
        <v>223</v>
      </c>
      <c r="B158" s="40" t="s">
        <v>215</v>
      </c>
      <c r="C158" s="41">
        <v>24.0</v>
      </c>
      <c r="D158" s="33">
        <v>3.76028701031E12</v>
      </c>
      <c r="E158" s="42">
        <v>1.05</v>
      </c>
      <c r="F158" s="35">
        <v>25.2</v>
      </c>
      <c r="G158" s="36">
        <v>1.0</v>
      </c>
      <c r="H158" s="43">
        <f t="shared" si="48"/>
        <v>1.091666667</v>
      </c>
      <c r="I158" s="43">
        <f t="shared" si="49"/>
        <v>26.2</v>
      </c>
      <c r="J158" s="37"/>
      <c r="K158" s="45">
        <f t="shared" si="50"/>
        <v>0</v>
      </c>
    </row>
    <row r="159" ht="15.0" customHeight="1">
      <c r="A159" s="30" t="s">
        <v>224</v>
      </c>
      <c r="B159" s="31"/>
      <c r="C159" s="32"/>
      <c r="D159" s="33"/>
      <c r="E159" s="34"/>
      <c r="F159" s="35"/>
      <c r="G159" s="36"/>
      <c r="H159" s="43"/>
      <c r="I159" s="43"/>
      <c r="J159" s="37"/>
      <c r="K159" s="45"/>
    </row>
    <row r="160" ht="15.0" customHeight="1">
      <c r="A160" s="39" t="s">
        <v>225</v>
      </c>
      <c r="B160" s="40" t="s">
        <v>226</v>
      </c>
      <c r="C160" s="41">
        <v>10.0</v>
      </c>
      <c r="D160" s="33">
        <v>4.779033974409E12</v>
      </c>
      <c r="E160" s="42">
        <v>2.3</v>
      </c>
      <c r="F160" s="35">
        <v>23.0</v>
      </c>
      <c r="G160" s="36">
        <v>1.0</v>
      </c>
      <c r="H160" s="43">
        <f t="shared" ref="H160:H165" si="51">I160/C160</f>
        <v>2.4</v>
      </c>
      <c r="I160" s="43">
        <f t="shared" ref="I160:I165" si="52">F160+G160</f>
        <v>24</v>
      </c>
      <c r="J160" s="37"/>
      <c r="K160" s="45">
        <f t="shared" ref="K160:K165" si="53">I160*J160</f>
        <v>0</v>
      </c>
    </row>
    <row r="161" ht="15.0" customHeight="1">
      <c r="A161" s="39" t="s">
        <v>227</v>
      </c>
      <c r="B161" s="40" t="s">
        <v>226</v>
      </c>
      <c r="C161" s="41">
        <v>10.0</v>
      </c>
      <c r="D161" s="33">
        <v>4.779033974218E12</v>
      </c>
      <c r="E161" s="42">
        <v>2.3</v>
      </c>
      <c r="F161" s="35">
        <v>23.0</v>
      </c>
      <c r="G161" s="36">
        <v>1.0</v>
      </c>
      <c r="H161" s="43">
        <f t="shared" si="51"/>
        <v>2.4</v>
      </c>
      <c r="I161" s="43">
        <f t="shared" si="52"/>
        <v>24</v>
      </c>
      <c r="J161" s="37"/>
      <c r="K161" s="45">
        <f t="shared" si="53"/>
        <v>0</v>
      </c>
    </row>
    <row r="162" ht="15.0" customHeight="1">
      <c r="A162" s="39" t="s">
        <v>228</v>
      </c>
      <c r="B162" s="40" t="s">
        <v>226</v>
      </c>
      <c r="C162" s="41">
        <v>10.0</v>
      </c>
      <c r="D162" s="33">
        <v>4.779056910194E12</v>
      </c>
      <c r="E162" s="42">
        <v>2.3</v>
      </c>
      <c r="F162" s="35">
        <v>23.0</v>
      </c>
      <c r="G162" s="36">
        <v>1.0</v>
      </c>
      <c r="H162" s="43">
        <f t="shared" si="51"/>
        <v>2.4</v>
      </c>
      <c r="I162" s="43">
        <f t="shared" si="52"/>
        <v>24</v>
      </c>
      <c r="J162" s="37"/>
      <c r="K162" s="45">
        <f t="shared" si="53"/>
        <v>0</v>
      </c>
    </row>
    <row r="163" ht="15.0" customHeight="1">
      <c r="A163" s="39" t="s">
        <v>229</v>
      </c>
      <c r="B163" s="40" t="s">
        <v>226</v>
      </c>
      <c r="C163" s="41">
        <v>10.0</v>
      </c>
      <c r="D163" s="33">
        <v>4.779056910187E12</v>
      </c>
      <c r="E163" s="42">
        <v>2.3</v>
      </c>
      <c r="F163" s="35">
        <v>23.0</v>
      </c>
      <c r="G163" s="36">
        <v>1.0</v>
      </c>
      <c r="H163" s="43">
        <f t="shared" si="51"/>
        <v>2.4</v>
      </c>
      <c r="I163" s="43">
        <f t="shared" si="52"/>
        <v>24</v>
      </c>
      <c r="J163" s="37"/>
      <c r="K163" s="45">
        <f t="shared" si="53"/>
        <v>0</v>
      </c>
    </row>
    <row r="164" ht="15.0" customHeight="1">
      <c r="A164" s="39" t="s">
        <v>230</v>
      </c>
      <c r="B164" s="40" t="s">
        <v>231</v>
      </c>
      <c r="C164" s="41">
        <v>8.0</v>
      </c>
      <c r="D164" s="91">
        <v>4.71125628136E12</v>
      </c>
      <c r="E164" s="42">
        <v>2.15</v>
      </c>
      <c r="F164" s="35">
        <v>17.2</v>
      </c>
      <c r="G164" s="36">
        <v>1.0</v>
      </c>
      <c r="H164" s="43">
        <f t="shared" si="51"/>
        <v>2.275</v>
      </c>
      <c r="I164" s="43">
        <f t="shared" si="52"/>
        <v>18.2</v>
      </c>
      <c r="J164" s="37"/>
      <c r="K164" s="45">
        <f t="shared" si="53"/>
        <v>0</v>
      </c>
    </row>
    <row r="165" ht="15.0" customHeight="1">
      <c r="A165" s="39" t="s">
        <v>232</v>
      </c>
      <c r="B165" s="40" t="s">
        <v>231</v>
      </c>
      <c r="C165" s="41">
        <v>8.0</v>
      </c>
      <c r="D165" s="33">
        <v>4.711256281377E12</v>
      </c>
      <c r="E165" s="42">
        <v>2.15</v>
      </c>
      <c r="F165" s="35">
        <v>17.2</v>
      </c>
      <c r="G165" s="36">
        <v>1.0</v>
      </c>
      <c r="H165" s="43">
        <f t="shared" si="51"/>
        <v>2.275</v>
      </c>
      <c r="I165" s="43">
        <f t="shared" si="52"/>
        <v>18.2</v>
      </c>
      <c r="J165" s="37"/>
      <c r="K165" s="45">
        <f t="shared" si="53"/>
        <v>0</v>
      </c>
    </row>
    <row r="166" ht="15.0" customHeight="1">
      <c r="A166" s="30" t="s">
        <v>233</v>
      </c>
      <c r="B166" s="31"/>
      <c r="C166" s="32"/>
      <c r="D166" s="33"/>
      <c r="E166" s="34"/>
      <c r="F166" s="35"/>
      <c r="G166" s="36"/>
      <c r="H166" s="43"/>
      <c r="I166" s="43"/>
      <c r="J166" s="37"/>
      <c r="K166" s="45"/>
    </row>
    <row r="167" ht="15.0" customHeight="1">
      <c r="A167" s="39" t="s">
        <v>234</v>
      </c>
      <c r="B167" s="40" t="s">
        <v>59</v>
      </c>
      <c r="C167" s="41">
        <v>24.0</v>
      </c>
      <c r="D167" s="33" t="s">
        <v>235</v>
      </c>
      <c r="E167" s="42">
        <v>1.55</v>
      </c>
      <c r="F167" s="35">
        <v>37.2</v>
      </c>
      <c r="G167" s="36">
        <v>1.0</v>
      </c>
      <c r="H167" s="43">
        <f t="shared" ref="H167:H172" si="54">I167/C167</f>
        <v>1.591666667</v>
      </c>
      <c r="I167" s="43">
        <f t="shared" ref="I167:I172" si="55">F167+G167</f>
        <v>38.2</v>
      </c>
      <c r="J167" s="37"/>
      <c r="K167" s="45">
        <f t="shared" ref="K167:K172" si="56">I167*J167</f>
        <v>0</v>
      </c>
    </row>
    <row r="168" ht="15.0" customHeight="1">
      <c r="A168" s="39" t="s">
        <v>236</v>
      </c>
      <c r="B168" s="40" t="s">
        <v>59</v>
      </c>
      <c r="C168" s="41">
        <v>24.0</v>
      </c>
      <c r="D168" s="33" t="s">
        <v>237</v>
      </c>
      <c r="E168" s="42">
        <v>1.55</v>
      </c>
      <c r="F168" s="35">
        <v>37.2</v>
      </c>
      <c r="G168" s="36">
        <v>1.0</v>
      </c>
      <c r="H168" s="43">
        <f t="shared" si="54"/>
        <v>1.591666667</v>
      </c>
      <c r="I168" s="43">
        <f t="shared" si="55"/>
        <v>38.2</v>
      </c>
      <c r="J168" s="37"/>
      <c r="K168" s="45">
        <f t="shared" si="56"/>
        <v>0</v>
      </c>
    </row>
    <row r="169" ht="15.0" customHeight="1">
      <c r="A169" s="39" t="s">
        <v>238</v>
      </c>
      <c r="B169" s="40" t="s">
        <v>59</v>
      </c>
      <c r="C169" s="41">
        <v>24.0</v>
      </c>
      <c r="D169" s="33" t="s">
        <v>239</v>
      </c>
      <c r="E169" s="42">
        <v>1.55</v>
      </c>
      <c r="F169" s="35">
        <v>37.2</v>
      </c>
      <c r="G169" s="36">
        <v>1.0</v>
      </c>
      <c r="H169" s="43">
        <f t="shared" si="54"/>
        <v>1.591666667</v>
      </c>
      <c r="I169" s="43">
        <f t="shared" si="55"/>
        <v>38.2</v>
      </c>
      <c r="J169" s="37"/>
      <c r="K169" s="45">
        <f t="shared" si="56"/>
        <v>0</v>
      </c>
    </row>
    <row r="170" ht="15.0" customHeight="1">
      <c r="A170" s="39" t="s">
        <v>240</v>
      </c>
      <c r="B170" s="40" t="s">
        <v>59</v>
      </c>
      <c r="C170" s="41">
        <v>24.0</v>
      </c>
      <c r="D170" s="33" t="s">
        <v>241</v>
      </c>
      <c r="E170" s="42">
        <v>1.55</v>
      </c>
      <c r="F170" s="35">
        <v>37.2</v>
      </c>
      <c r="G170" s="36">
        <v>1.0</v>
      </c>
      <c r="H170" s="43">
        <f t="shared" si="54"/>
        <v>1.591666667</v>
      </c>
      <c r="I170" s="43">
        <f t="shared" si="55"/>
        <v>38.2</v>
      </c>
      <c r="J170" s="37"/>
      <c r="K170" s="45">
        <f t="shared" si="56"/>
        <v>0</v>
      </c>
    </row>
    <row r="171" ht="15.0" customHeight="1">
      <c r="A171" s="39" t="s">
        <v>242</v>
      </c>
      <c r="B171" s="40" t="s">
        <v>59</v>
      </c>
      <c r="C171" s="41">
        <v>24.0</v>
      </c>
      <c r="D171" s="33" t="s">
        <v>243</v>
      </c>
      <c r="E171" s="42">
        <v>1.55</v>
      </c>
      <c r="F171" s="35">
        <v>37.2</v>
      </c>
      <c r="G171" s="36">
        <v>1.0</v>
      </c>
      <c r="H171" s="43">
        <f t="shared" si="54"/>
        <v>1.591666667</v>
      </c>
      <c r="I171" s="43">
        <f t="shared" si="55"/>
        <v>38.2</v>
      </c>
      <c r="J171" s="37"/>
      <c r="K171" s="45">
        <f t="shared" si="56"/>
        <v>0</v>
      </c>
    </row>
    <row r="172" ht="15.0" customHeight="1">
      <c r="A172" s="39" t="s">
        <v>244</v>
      </c>
      <c r="B172" s="40" t="s">
        <v>59</v>
      </c>
      <c r="C172" s="41">
        <v>24.0</v>
      </c>
      <c r="D172" s="33" t="s">
        <v>245</v>
      </c>
      <c r="E172" s="42">
        <v>1.55</v>
      </c>
      <c r="F172" s="35">
        <v>37.2</v>
      </c>
      <c r="G172" s="36">
        <v>1.0</v>
      </c>
      <c r="H172" s="43">
        <f t="shared" si="54"/>
        <v>1.591666667</v>
      </c>
      <c r="I172" s="43">
        <f t="shared" si="55"/>
        <v>38.2</v>
      </c>
      <c r="J172" s="37"/>
      <c r="K172" s="45">
        <f t="shared" si="56"/>
        <v>0</v>
      </c>
    </row>
    <row r="173" ht="15.0" customHeight="1">
      <c r="A173" s="30" t="s">
        <v>246</v>
      </c>
      <c r="B173" s="31"/>
      <c r="C173" s="32"/>
      <c r="D173" s="33"/>
      <c r="E173" s="34"/>
      <c r="F173" s="35"/>
      <c r="G173" s="36"/>
      <c r="H173" s="43"/>
      <c r="I173" s="43"/>
      <c r="J173" s="37"/>
      <c r="K173" s="45"/>
    </row>
    <row r="174" ht="15.0" customHeight="1">
      <c r="A174" s="39" t="s">
        <v>247</v>
      </c>
      <c r="B174" s="40" t="s">
        <v>198</v>
      </c>
      <c r="C174" s="41">
        <v>24.0</v>
      </c>
      <c r="D174" s="33" t="s">
        <v>248</v>
      </c>
      <c r="E174" s="42">
        <v>0.85</v>
      </c>
      <c r="F174" s="35">
        <v>20.4</v>
      </c>
      <c r="G174" s="36">
        <v>1.0</v>
      </c>
      <c r="H174" s="43">
        <f t="shared" ref="H174:H188" si="57">I174/C174</f>
        <v>0.8916666667</v>
      </c>
      <c r="I174" s="43">
        <f t="shared" ref="I174:I188" si="58">F174+G174</f>
        <v>21.4</v>
      </c>
      <c r="J174" s="37"/>
      <c r="K174" s="45">
        <f t="shared" ref="K174:K188" si="59">I174*J174</f>
        <v>0</v>
      </c>
    </row>
    <row r="175" ht="15.0" customHeight="1">
      <c r="A175" s="39" t="s">
        <v>249</v>
      </c>
      <c r="B175" s="40" t="s">
        <v>198</v>
      </c>
      <c r="C175" s="41">
        <v>24.0</v>
      </c>
      <c r="D175" s="33" t="s">
        <v>248</v>
      </c>
      <c r="E175" s="42">
        <v>0.85</v>
      </c>
      <c r="F175" s="35">
        <v>20.4</v>
      </c>
      <c r="G175" s="36">
        <v>1.0</v>
      </c>
      <c r="H175" s="43">
        <f t="shared" si="57"/>
        <v>0.8916666667</v>
      </c>
      <c r="I175" s="43">
        <f t="shared" si="58"/>
        <v>21.4</v>
      </c>
      <c r="J175" s="37"/>
      <c r="K175" s="45">
        <f t="shared" si="59"/>
        <v>0</v>
      </c>
    </row>
    <row r="176" ht="15.0" customHeight="1">
      <c r="A176" s="39" t="s">
        <v>250</v>
      </c>
      <c r="B176" s="40" t="s">
        <v>198</v>
      </c>
      <c r="C176" s="41">
        <v>24.0</v>
      </c>
      <c r="D176" s="33" t="s">
        <v>248</v>
      </c>
      <c r="E176" s="42">
        <v>0.85</v>
      </c>
      <c r="F176" s="35">
        <v>20.4</v>
      </c>
      <c r="G176" s="36">
        <v>1.0</v>
      </c>
      <c r="H176" s="43">
        <f t="shared" si="57"/>
        <v>0.8916666667</v>
      </c>
      <c r="I176" s="43">
        <f t="shared" si="58"/>
        <v>21.4</v>
      </c>
      <c r="J176" s="37"/>
      <c r="K176" s="45">
        <f t="shared" si="59"/>
        <v>0</v>
      </c>
    </row>
    <row r="177" ht="15.0" customHeight="1">
      <c r="A177" s="39" t="s">
        <v>251</v>
      </c>
      <c r="B177" s="40" t="s">
        <v>198</v>
      </c>
      <c r="C177" s="41">
        <v>24.0</v>
      </c>
      <c r="D177" s="33" t="s">
        <v>248</v>
      </c>
      <c r="E177" s="42">
        <v>0.85</v>
      </c>
      <c r="F177" s="35">
        <v>20.4</v>
      </c>
      <c r="G177" s="36">
        <v>1.0</v>
      </c>
      <c r="H177" s="43">
        <f t="shared" si="57"/>
        <v>0.8916666667</v>
      </c>
      <c r="I177" s="43">
        <f t="shared" si="58"/>
        <v>21.4</v>
      </c>
      <c r="J177" s="37"/>
      <c r="K177" s="45">
        <f t="shared" si="59"/>
        <v>0</v>
      </c>
    </row>
    <row r="178" ht="15.0" customHeight="1">
      <c r="A178" s="39" t="s">
        <v>252</v>
      </c>
      <c r="B178" s="40" t="s">
        <v>198</v>
      </c>
      <c r="C178" s="41">
        <v>24.0</v>
      </c>
      <c r="D178" s="33">
        <v>9.00251542907E12</v>
      </c>
      <c r="E178" s="42">
        <v>0.85</v>
      </c>
      <c r="F178" s="35">
        <v>20.4</v>
      </c>
      <c r="G178" s="36">
        <v>1.0</v>
      </c>
      <c r="H178" s="43">
        <f t="shared" si="57"/>
        <v>0.8916666667</v>
      </c>
      <c r="I178" s="43">
        <f t="shared" si="58"/>
        <v>21.4</v>
      </c>
      <c r="J178" s="37"/>
      <c r="K178" s="45">
        <f t="shared" si="59"/>
        <v>0</v>
      </c>
    </row>
    <row r="179" ht="15.0" customHeight="1">
      <c r="A179" s="39" t="s">
        <v>253</v>
      </c>
      <c r="B179" s="40" t="s">
        <v>198</v>
      </c>
      <c r="C179" s="41">
        <v>24.0</v>
      </c>
      <c r="D179" s="33" t="s">
        <v>248</v>
      </c>
      <c r="E179" s="42">
        <v>0.85</v>
      </c>
      <c r="F179" s="35">
        <v>20.4</v>
      </c>
      <c r="G179" s="36">
        <v>1.0</v>
      </c>
      <c r="H179" s="43">
        <f t="shared" si="57"/>
        <v>0.8916666667</v>
      </c>
      <c r="I179" s="43">
        <f t="shared" si="58"/>
        <v>21.4</v>
      </c>
      <c r="J179" s="37"/>
      <c r="K179" s="45">
        <f t="shared" si="59"/>
        <v>0</v>
      </c>
    </row>
    <row r="180" ht="15.0" customHeight="1">
      <c r="A180" s="39" t="s">
        <v>254</v>
      </c>
      <c r="B180" s="40" t="s">
        <v>198</v>
      </c>
      <c r="C180" s="41">
        <v>24.0</v>
      </c>
      <c r="D180" s="33" t="s">
        <v>248</v>
      </c>
      <c r="E180" s="42">
        <v>0.85</v>
      </c>
      <c r="F180" s="35">
        <v>20.4</v>
      </c>
      <c r="G180" s="36">
        <v>1.0</v>
      </c>
      <c r="H180" s="43">
        <f t="shared" si="57"/>
        <v>0.8916666667</v>
      </c>
      <c r="I180" s="43">
        <f t="shared" si="58"/>
        <v>21.4</v>
      </c>
      <c r="J180" s="37"/>
      <c r="K180" s="45">
        <f t="shared" si="59"/>
        <v>0</v>
      </c>
    </row>
    <row r="181" ht="15.0" customHeight="1">
      <c r="A181" s="39" t="s">
        <v>255</v>
      </c>
      <c r="B181" s="40" t="s">
        <v>198</v>
      </c>
      <c r="C181" s="41">
        <v>24.0</v>
      </c>
      <c r="D181" s="33" t="s">
        <v>248</v>
      </c>
      <c r="E181" s="42">
        <v>0.85</v>
      </c>
      <c r="F181" s="35">
        <v>20.4</v>
      </c>
      <c r="G181" s="36">
        <v>1.0</v>
      </c>
      <c r="H181" s="43">
        <f t="shared" si="57"/>
        <v>0.8916666667</v>
      </c>
      <c r="I181" s="43">
        <f t="shared" si="58"/>
        <v>21.4</v>
      </c>
      <c r="J181" s="37"/>
      <c r="K181" s="45">
        <f t="shared" si="59"/>
        <v>0</v>
      </c>
    </row>
    <row r="182" ht="15.0" customHeight="1">
      <c r="A182" s="39" t="s">
        <v>256</v>
      </c>
      <c r="B182" s="40" t="s">
        <v>198</v>
      </c>
      <c r="C182" s="41">
        <v>24.0</v>
      </c>
      <c r="D182" s="33" t="s">
        <v>248</v>
      </c>
      <c r="E182" s="42">
        <v>0.85</v>
      </c>
      <c r="F182" s="35">
        <v>20.4</v>
      </c>
      <c r="G182" s="36">
        <v>1.0</v>
      </c>
      <c r="H182" s="43">
        <f t="shared" si="57"/>
        <v>0.8916666667</v>
      </c>
      <c r="I182" s="43">
        <f t="shared" si="58"/>
        <v>21.4</v>
      </c>
      <c r="J182" s="37"/>
      <c r="K182" s="45">
        <f t="shared" si="59"/>
        <v>0</v>
      </c>
    </row>
    <row r="183" ht="15.0" customHeight="1">
      <c r="A183" s="39" t="s">
        <v>257</v>
      </c>
      <c r="B183" s="40" t="s">
        <v>198</v>
      </c>
      <c r="C183" s="41">
        <v>24.0</v>
      </c>
      <c r="D183" s="33" t="s">
        <v>248</v>
      </c>
      <c r="E183" s="42">
        <v>0.85</v>
      </c>
      <c r="F183" s="35">
        <v>20.4</v>
      </c>
      <c r="G183" s="36">
        <v>1.0</v>
      </c>
      <c r="H183" s="43">
        <f t="shared" si="57"/>
        <v>0.8916666667</v>
      </c>
      <c r="I183" s="43">
        <f t="shared" si="58"/>
        <v>21.4</v>
      </c>
      <c r="J183" s="37"/>
      <c r="K183" s="45">
        <f t="shared" si="59"/>
        <v>0</v>
      </c>
    </row>
    <row r="184" ht="15.0" customHeight="1">
      <c r="A184" s="39" t="s">
        <v>258</v>
      </c>
      <c r="B184" s="40" t="s">
        <v>198</v>
      </c>
      <c r="C184" s="41">
        <v>24.0</v>
      </c>
      <c r="D184" s="33" t="s">
        <v>248</v>
      </c>
      <c r="E184" s="42">
        <v>0.85</v>
      </c>
      <c r="F184" s="35">
        <v>20.4</v>
      </c>
      <c r="G184" s="36">
        <v>1.0</v>
      </c>
      <c r="H184" s="43">
        <f t="shared" si="57"/>
        <v>0.8916666667</v>
      </c>
      <c r="I184" s="43">
        <f t="shared" si="58"/>
        <v>21.4</v>
      </c>
      <c r="J184" s="37"/>
      <c r="K184" s="45">
        <f t="shared" si="59"/>
        <v>0</v>
      </c>
    </row>
    <row r="185" ht="15.0" customHeight="1">
      <c r="A185" s="39" t="s">
        <v>259</v>
      </c>
      <c r="B185" s="40" t="s">
        <v>198</v>
      </c>
      <c r="C185" s="41">
        <v>24.0</v>
      </c>
      <c r="D185" s="33" t="s">
        <v>248</v>
      </c>
      <c r="E185" s="42">
        <v>0.85</v>
      </c>
      <c r="F185" s="35">
        <v>20.4</v>
      </c>
      <c r="G185" s="36">
        <v>1.0</v>
      </c>
      <c r="H185" s="43">
        <f t="shared" si="57"/>
        <v>0.8916666667</v>
      </c>
      <c r="I185" s="43">
        <f t="shared" si="58"/>
        <v>21.4</v>
      </c>
      <c r="J185" s="37"/>
      <c r="K185" s="45">
        <f t="shared" si="59"/>
        <v>0</v>
      </c>
    </row>
    <row r="186" ht="15.0" customHeight="1">
      <c r="A186" s="39" t="s">
        <v>260</v>
      </c>
      <c r="B186" s="40" t="s">
        <v>198</v>
      </c>
      <c r="C186" s="41">
        <v>24.0</v>
      </c>
      <c r="D186" s="33" t="s">
        <v>248</v>
      </c>
      <c r="E186" s="42">
        <v>0.9</v>
      </c>
      <c r="F186" s="35">
        <v>21.6</v>
      </c>
      <c r="G186" s="36">
        <v>1.0</v>
      </c>
      <c r="H186" s="43">
        <f t="shared" si="57"/>
        <v>0.9416666667</v>
      </c>
      <c r="I186" s="43">
        <f t="shared" si="58"/>
        <v>22.6</v>
      </c>
      <c r="J186" s="37"/>
      <c r="K186" s="45">
        <f t="shared" si="59"/>
        <v>0</v>
      </c>
    </row>
    <row r="187" ht="15.0" customHeight="1">
      <c r="A187" s="39" t="s">
        <v>261</v>
      </c>
      <c r="B187" s="40" t="s">
        <v>198</v>
      </c>
      <c r="C187" s="41">
        <v>24.0</v>
      </c>
      <c r="D187" s="33" t="s">
        <v>248</v>
      </c>
      <c r="E187" s="42">
        <v>0.9</v>
      </c>
      <c r="F187" s="35">
        <v>21.6</v>
      </c>
      <c r="G187" s="36">
        <v>1.0</v>
      </c>
      <c r="H187" s="43">
        <f t="shared" si="57"/>
        <v>0.9416666667</v>
      </c>
      <c r="I187" s="43">
        <f t="shared" si="58"/>
        <v>22.6</v>
      </c>
      <c r="J187" s="37"/>
      <c r="K187" s="45">
        <f t="shared" si="59"/>
        <v>0</v>
      </c>
    </row>
    <row r="188" ht="15.0" customHeight="1">
      <c r="A188" s="39" t="s">
        <v>262</v>
      </c>
      <c r="B188" s="40" t="s">
        <v>198</v>
      </c>
      <c r="C188" s="41">
        <v>24.0</v>
      </c>
      <c r="D188" s="33" t="s">
        <v>248</v>
      </c>
      <c r="E188" s="42">
        <v>0.9</v>
      </c>
      <c r="F188" s="35">
        <v>21.6</v>
      </c>
      <c r="G188" s="36">
        <v>1.0</v>
      </c>
      <c r="H188" s="43">
        <f t="shared" si="57"/>
        <v>0.9416666667</v>
      </c>
      <c r="I188" s="43">
        <f t="shared" si="58"/>
        <v>22.6</v>
      </c>
      <c r="J188" s="37"/>
      <c r="K188" s="45">
        <f t="shared" si="59"/>
        <v>0</v>
      </c>
    </row>
    <row r="189" ht="15.0" customHeight="1">
      <c r="A189" s="30" t="s">
        <v>263</v>
      </c>
      <c r="B189" s="31"/>
      <c r="C189" s="32"/>
      <c r="D189" s="33"/>
      <c r="E189" s="34"/>
      <c r="F189" s="35"/>
      <c r="G189" s="36"/>
      <c r="H189" s="43"/>
      <c r="I189" s="43"/>
      <c r="J189" s="37"/>
      <c r="K189" s="45"/>
    </row>
    <row r="190" ht="15.0" customHeight="1">
      <c r="A190" s="92" t="s">
        <v>264</v>
      </c>
      <c r="B190" s="93" t="s">
        <v>16</v>
      </c>
      <c r="C190" s="93">
        <v>24.0</v>
      </c>
      <c r="D190" s="94">
        <v>9.001400110871E12</v>
      </c>
      <c r="E190" s="95">
        <f t="shared" ref="E190:E193" si="60">0.95</f>
        <v>0.95</v>
      </c>
      <c r="F190" s="96">
        <v>22.8</v>
      </c>
      <c r="G190" s="97">
        <v>1.0</v>
      </c>
      <c r="H190" s="43">
        <f t="shared" ref="H190:H193" si="61">I190/C190</f>
        <v>0.9916666667</v>
      </c>
      <c r="I190" s="43">
        <f t="shared" ref="I190:I193" si="62">F190+G190</f>
        <v>23.8</v>
      </c>
      <c r="J190" s="37"/>
      <c r="K190" s="45">
        <f t="shared" ref="K190:K193" si="63">I190*J190</f>
        <v>0</v>
      </c>
    </row>
    <row r="191" ht="15.0" customHeight="1">
      <c r="A191" s="92" t="s">
        <v>265</v>
      </c>
      <c r="B191" s="98" t="s">
        <v>16</v>
      </c>
      <c r="C191" s="98">
        <v>24.0</v>
      </c>
      <c r="D191" s="99">
        <v>9.00140011084E12</v>
      </c>
      <c r="E191" s="95">
        <f t="shared" si="60"/>
        <v>0.95</v>
      </c>
      <c r="F191" s="96">
        <v>22.8</v>
      </c>
      <c r="G191" s="97">
        <v>1.0</v>
      </c>
      <c r="H191" s="43">
        <f t="shared" si="61"/>
        <v>0.9916666667</v>
      </c>
      <c r="I191" s="43">
        <f t="shared" si="62"/>
        <v>23.8</v>
      </c>
      <c r="J191" s="37"/>
      <c r="K191" s="45">
        <f t="shared" si="63"/>
        <v>0</v>
      </c>
    </row>
    <row r="192" ht="15.0" customHeight="1">
      <c r="A192" s="92" t="s">
        <v>266</v>
      </c>
      <c r="B192" s="98" t="s">
        <v>16</v>
      </c>
      <c r="C192" s="98">
        <v>24.0</v>
      </c>
      <c r="D192" s="99">
        <v>9.001400110901E12</v>
      </c>
      <c r="E192" s="95">
        <f t="shared" si="60"/>
        <v>0.95</v>
      </c>
      <c r="F192" s="96">
        <v>22.8</v>
      </c>
      <c r="G192" s="97">
        <v>1.0</v>
      </c>
      <c r="H192" s="43">
        <f t="shared" si="61"/>
        <v>0.9916666667</v>
      </c>
      <c r="I192" s="43">
        <f t="shared" si="62"/>
        <v>23.8</v>
      </c>
      <c r="J192" s="37"/>
      <c r="K192" s="45">
        <f t="shared" si="63"/>
        <v>0</v>
      </c>
    </row>
    <row r="193" ht="15.0" customHeight="1">
      <c r="A193" s="92" t="s">
        <v>267</v>
      </c>
      <c r="B193" s="93" t="s">
        <v>16</v>
      </c>
      <c r="C193" s="93">
        <v>24.0</v>
      </c>
      <c r="D193" s="94">
        <v>9.001400110932E12</v>
      </c>
      <c r="E193" s="95">
        <f t="shared" si="60"/>
        <v>0.95</v>
      </c>
      <c r="F193" s="96">
        <v>22.8</v>
      </c>
      <c r="G193" s="97">
        <v>1.0</v>
      </c>
      <c r="H193" s="43">
        <f t="shared" si="61"/>
        <v>0.9916666667</v>
      </c>
      <c r="I193" s="43">
        <f t="shared" si="62"/>
        <v>23.8</v>
      </c>
      <c r="J193" s="37"/>
      <c r="K193" s="45">
        <f t="shared" si="63"/>
        <v>0</v>
      </c>
    </row>
    <row r="194" ht="15.0" customHeight="1">
      <c r="A194" s="30" t="s">
        <v>268</v>
      </c>
      <c r="B194" s="31"/>
      <c r="C194" s="32"/>
      <c r="D194" s="33"/>
      <c r="E194" s="34"/>
      <c r="F194" s="35"/>
      <c r="G194" s="36"/>
      <c r="H194" s="43"/>
      <c r="I194" s="43"/>
      <c r="J194" s="37"/>
      <c r="K194" s="45"/>
    </row>
    <row r="195" ht="15.0" customHeight="1">
      <c r="A195" s="39" t="s">
        <v>269</v>
      </c>
      <c r="B195" s="40" t="s">
        <v>270</v>
      </c>
      <c r="C195" s="41">
        <v>24.0</v>
      </c>
      <c r="D195" s="33">
        <v>8.85038911126E12</v>
      </c>
      <c r="E195" s="42">
        <v>0.9</v>
      </c>
      <c r="F195" s="35">
        <v>21.6</v>
      </c>
      <c r="G195" s="36">
        <v>2.0</v>
      </c>
      <c r="H195" s="43">
        <f t="shared" ref="H195:H209" si="64">I195/C195</f>
        <v>0.9833333333</v>
      </c>
      <c r="I195" s="43">
        <f t="shared" ref="I195:I209" si="65">F195+G195</f>
        <v>23.6</v>
      </c>
      <c r="J195" s="37"/>
      <c r="K195" s="45">
        <f t="shared" ref="K195:K209" si="66">I195*J195</f>
        <v>0</v>
      </c>
    </row>
    <row r="196" ht="15.0" customHeight="1">
      <c r="A196" s="39" t="s">
        <v>271</v>
      </c>
      <c r="B196" s="40" t="s">
        <v>270</v>
      </c>
      <c r="C196" s="41">
        <v>24.0</v>
      </c>
      <c r="D196" s="33">
        <v>8.85038911887E12</v>
      </c>
      <c r="E196" s="42">
        <v>0.9</v>
      </c>
      <c r="F196" s="35">
        <v>21.6</v>
      </c>
      <c r="G196" s="36">
        <v>2.0</v>
      </c>
      <c r="H196" s="43">
        <f t="shared" si="64"/>
        <v>0.9833333333</v>
      </c>
      <c r="I196" s="43">
        <f t="shared" si="65"/>
        <v>23.6</v>
      </c>
      <c r="J196" s="37"/>
      <c r="K196" s="45">
        <f t="shared" si="66"/>
        <v>0</v>
      </c>
    </row>
    <row r="197" ht="15.0" customHeight="1">
      <c r="A197" s="39" t="s">
        <v>272</v>
      </c>
      <c r="B197" s="40" t="s">
        <v>270</v>
      </c>
      <c r="C197" s="41">
        <v>24.0</v>
      </c>
      <c r="D197" s="33">
        <v>8.850389118856E12</v>
      </c>
      <c r="E197" s="42">
        <v>0.9</v>
      </c>
      <c r="F197" s="35">
        <v>21.6</v>
      </c>
      <c r="G197" s="36">
        <v>2.0</v>
      </c>
      <c r="H197" s="43">
        <f t="shared" si="64"/>
        <v>0.9833333333</v>
      </c>
      <c r="I197" s="43">
        <f t="shared" si="65"/>
        <v>23.6</v>
      </c>
      <c r="J197" s="37"/>
      <c r="K197" s="45">
        <f t="shared" si="66"/>
        <v>0</v>
      </c>
    </row>
    <row r="198" ht="15.0" customHeight="1">
      <c r="A198" s="39" t="s">
        <v>273</v>
      </c>
      <c r="B198" s="40" t="s">
        <v>270</v>
      </c>
      <c r="C198" s="41">
        <v>24.0</v>
      </c>
      <c r="D198" s="33">
        <v>8.850389115367E12</v>
      </c>
      <c r="E198" s="42">
        <v>0.9</v>
      </c>
      <c r="F198" s="35">
        <v>21.6</v>
      </c>
      <c r="G198" s="36">
        <v>2.0</v>
      </c>
      <c r="H198" s="43">
        <f t="shared" si="64"/>
        <v>0.9833333333</v>
      </c>
      <c r="I198" s="43">
        <f t="shared" si="65"/>
        <v>23.6</v>
      </c>
      <c r="J198" s="37"/>
      <c r="K198" s="45">
        <f t="shared" si="66"/>
        <v>0</v>
      </c>
    </row>
    <row r="199" ht="15.0" customHeight="1">
      <c r="A199" s="39" t="s">
        <v>274</v>
      </c>
      <c r="B199" s="40" t="s">
        <v>270</v>
      </c>
      <c r="C199" s="41">
        <v>24.0</v>
      </c>
      <c r="D199" s="33">
        <v>8.850389106273E12</v>
      </c>
      <c r="E199" s="42">
        <v>0.9</v>
      </c>
      <c r="F199" s="35">
        <v>21.6</v>
      </c>
      <c r="G199" s="36">
        <v>2.0</v>
      </c>
      <c r="H199" s="43">
        <f t="shared" si="64"/>
        <v>0.9833333333</v>
      </c>
      <c r="I199" s="43">
        <f t="shared" si="65"/>
        <v>23.6</v>
      </c>
      <c r="J199" s="37"/>
      <c r="K199" s="45">
        <f t="shared" si="66"/>
        <v>0</v>
      </c>
    </row>
    <row r="200" ht="15.0" customHeight="1">
      <c r="A200" s="39" t="s">
        <v>275</v>
      </c>
      <c r="B200" s="40" t="s">
        <v>270</v>
      </c>
      <c r="C200" s="41">
        <v>24.0</v>
      </c>
      <c r="D200" s="33">
        <v>8.850389113219E12</v>
      </c>
      <c r="E200" s="42">
        <v>0.9</v>
      </c>
      <c r="F200" s="35">
        <v>21.6</v>
      </c>
      <c r="G200" s="36">
        <v>2.0</v>
      </c>
      <c r="H200" s="43">
        <f t="shared" si="64"/>
        <v>0.9833333333</v>
      </c>
      <c r="I200" s="43">
        <f t="shared" si="65"/>
        <v>23.6</v>
      </c>
      <c r="J200" s="37"/>
      <c r="K200" s="45">
        <f t="shared" si="66"/>
        <v>0</v>
      </c>
    </row>
    <row r="201" ht="15.0" customHeight="1">
      <c r="A201" s="39" t="s">
        <v>276</v>
      </c>
      <c r="B201" s="40" t="s">
        <v>270</v>
      </c>
      <c r="C201" s="41">
        <v>24.0</v>
      </c>
      <c r="D201" s="33">
        <v>8.850389116487E12</v>
      </c>
      <c r="E201" s="42">
        <v>0.9</v>
      </c>
      <c r="F201" s="35">
        <v>21.6</v>
      </c>
      <c r="G201" s="36">
        <v>2.0</v>
      </c>
      <c r="H201" s="43">
        <f t="shared" si="64"/>
        <v>0.9833333333</v>
      </c>
      <c r="I201" s="43">
        <f t="shared" si="65"/>
        <v>23.6</v>
      </c>
      <c r="J201" s="37"/>
      <c r="K201" s="45">
        <f t="shared" si="66"/>
        <v>0</v>
      </c>
    </row>
    <row r="202" ht="15.0" customHeight="1">
      <c r="A202" s="39" t="s">
        <v>277</v>
      </c>
      <c r="B202" s="40" t="s">
        <v>270</v>
      </c>
      <c r="C202" s="41">
        <v>24.0</v>
      </c>
      <c r="D202" s="33">
        <v>8.850389111376E12</v>
      </c>
      <c r="E202" s="42">
        <v>0.9</v>
      </c>
      <c r="F202" s="35">
        <v>21.6</v>
      </c>
      <c r="G202" s="36">
        <v>2.0</v>
      </c>
      <c r="H202" s="43">
        <f t="shared" si="64"/>
        <v>0.9833333333</v>
      </c>
      <c r="I202" s="43">
        <f t="shared" si="65"/>
        <v>23.6</v>
      </c>
      <c r="J202" s="37"/>
      <c r="K202" s="45">
        <f t="shared" si="66"/>
        <v>0</v>
      </c>
    </row>
    <row r="203" ht="15.0" customHeight="1">
      <c r="A203" s="39" t="s">
        <v>278</v>
      </c>
      <c r="B203" s="40" t="s">
        <v>270</v>
      </c>
      <c r="C203" s="41">
        <v>24.0</v>
      </c>
      <c r="D203" s="33">
        <v>8.850389100684E12</v>
      </c>
      <c r="E203" s="42">
        <v>0.9</v>
      </c>
      <c r="F203" s="35">
        <v>21.6</v>
      </c>
      <c r="G203" s="36">
        <v>2.0</v>
      </c>
      <c r="H203" s="43">
        <f t="shared" si="64"/>
        <v>0.9833333333</v>
      </c>
      <c r="I203" s="43">
        <f t="shared" si="65"/>
        <v>23.6</v>
      </c>
      <c r="J203" s="37"/>
      <c r="K203" s="45">
        <f t="shared" si="66"/>
        <v>0</v>
      </c>
    </row>
    <row r="204" ht="15.0" customHeight="1">
      <c r="A204" s="39" t="s">
        <v>279</v>
      </c>
      <c r="B204" s="40" t="s">
        <v>270</v>
      </c>
      <c r="C204" s="41">
        <v>24.0</v>
      </c>
      <c r="D204" s="33">
        <v>8.850389111253E12</v>
      </c>
      <c r="E204" s="42">
        <v>0.9</v>
      </c>
      <c r="F204" s="35">
        <v>21.6</v>
      </c>
      <c r="G204" s="36">
        <v>2.0</v>
      </c>
      <c r="H204" s="43">
        <f t="shared" si="64"/>
        <v>0.9833333333</v>
      </c>
      <c r="I204" s="43">
        <f t="shared" si="65"/>
        <v>23.6</v>
      </c>
      <c r="J204" s="37"/>
      <c r="K204" s="45">
        <f t="shared" si="66"/>
        <v>0</v>
      </c>
    </row>
    <row r="205" ht="15.0" customHeight="1">
      <c r="A205" s="39" t="s">
        <v>280</v>
      </c>
      <c r="B205" s="40" t="s">
        <v>270</v>
      </c>
      <c r="C205" s="41">
        <v>24.0</v>
      </c>
      <c r="D205" s="33">
        <v>8.850389111352E12</v>
      </c>
      <c r="E205" s="42">
        <v>0.9</v>
      </c>
      <c r="F205" s="35">
        <v>21.6</v>
      </c>
      <c r="G205" s="36">
        <v>2.0</v>
      </c>
      <c r="H205" s="43">
        <f t="shared" si="64"/>
        <v>0.9833333333</v>
      </c>
      <c r="I205" s="43">
        <f t="shared" si="65"/>
        <v>23.6</v>
      </c>
      <c r="J205" s="37"/>
      <c r="K205" s="45">
        <f t="shared" si="66"/>
        <v>0</v>
      </c>
    </row>
    <row r="206" ht="15.0" customHeight="1">
      <c r="A206" s="39" t="s">
        <v>281</v>
      </c>
      <c r="B206" s="40" t="s">
        <v>270</v>
      </c>
      <c r="C206" s="41">
        <v>24.0</v>
      </c>
      <c r="D206" s="33">
        <v>8.850389113646E12</v>
      </c>
      <c r="E206" s="42">
        <v>0.9</v>
      </c>
      <c r="F206" s="35">
        <v>21.6</v>
      </c>
      <c r="G206" s="36">
        <v>2.0</v>
      </c>
      <c r="H206" s="43">
        <f t="shared" si="64"/>
        <v>0.9833333333</v>
      </c>
      <c r="I206" s="43">
        <f t="shared" si="65"/>
        <v>23.6</v>
      </c>
      <c r="J206" s="37"/>
      <c r="K206" s="45">
        <f t="shared" si="66"/>
        <v>0</v>
      </c>
    </row>
    <row r="207" ht="15.0" customHeight="1">
      <c r="A207" s="39" t="s">
        <v>282</v>
      </c>
      <c r="B207" s="40" t="s">
        <v>270</v>
      </c>
      <c r="C207" s="41">
        <v>24.0</v>
      </c>
      <c r="D207" s="33">
        <v>8.850389117095E12</v>
      </c>
      <c r="E207" s="42">
        <v>0.9</v>
      </c>
      <c r="F207" s="35">
        <v>21.6</v>
      </c>
      <c r="G207" s="36">
        <v>2.0</v>
      </c>
      <c r="H207" s="43">
        <f t="shared" si="64"/>
        <v>0.9833333333</v>
      </c>
      <c r="I207" s="43">
        <f t="shared" si="65"/>
        <v>23.6</v>
      </c>
      <c r="J207" s="37"/>
      <c r="K207" s="45">
        <f t="shared" si="66"/>
        <v>0</v>
      </c>
    </row>
    <row r="208" ht="15.0" customHeight="1">
      <c r="A208" s="39" t="s">
        <v>283</v>
      </c>
      <c r="B208" s="40" t="s">
        <v>270</v>
      </c>
      <c r="C208" s="41">
        <v>24.0</v>
      </c>
      <c r="D208" s="33">
        <v>8.85038910628E12</v>
      </c>
      <c r="E208" s="42">
        <v>0.9</v>
      </c>
      <c r="F208" s="35">
        <v>21.6</v>
      </c>
      <c r="G208" s="36">
        <v>2.0</v>
      </c>
      <c r="H208" s="43">
        <f t="shared" si="64"/>
        <v>0.9833333333</v>
      </c>
      <c r="I208" s="43">
        <f t="shared" si="65"/>
        <v>23.6</v>
      </c>
      <c r="J208" s="37"/>
      <c r="K208" s="45">
        <f t="shared" si="66"/>
        <v>0</v>
      </c>
    </row>
    <row r="209" ht="15.0" customHeight="1">
      <c r="A209" s="39" t="s">
        <v>284</v>
      </c>
      <c r="B209" s="40" t="s">
        <v>270</v>
      </c>
      <c r="C209" s="41">
        <v>24.0</v>
      </c>
      <c r="D209" s="33">
        <v>8.850389113486E12</v>
      </c>
      <c r="E209" s="42">
        <v>0.9</v>
      </c>
      <c r="F209" s="35">
        <v>21.6</v>
      </c>
      <c r="G209" s="36">
        <v>2.0</v>
      </c>
      <c r="H209" s="43">
        <f t="shared" si="64"/>
        <v>0.9833333333</v>
      </c>
      <c r="I209" s="43">
        <f t="shared" si="65"/>
        <v>23.6</v>
      </c>
      <c r="J209" s="37"/>
      <c r="K209" s="45">
        <f t="shared" si="66"/>
        <v>0</v>
      </c>
    </row>
    <row r="210" ht="15.0" customHeight="1">
      <c r="A210" s="30" t="s">
        <v>285</v>
      </c>
      <c r="B210" s="31"/>
      <c r="C210" s="32"/>
      <c r="D210" s="33"/>
      <c r="E210" s="34"/>
      <c r="F210" s="35"/>
      <c r="G210" s="36"/>
      <c r="H210" s="43"/>
      <c r="I210" s="43"/>
      <c r="J210" s="37"/>
      <c r="K210" s="45"/>
    </row>
    <row r="211" ht="15.0" customHeight="1">
      <c r="A211" s="39" t="s">
        <v>286</v>
      </c>
      <c r="B211" s="40" t="s">
        <v>86</v>
      </c>
      <c r="C211" s="41">
        <v>24.0</v>
      </c>
      <c r="D211" s="33">
        <v>8.50035248034E11</v>
      </c>
      <c r="E211" s="42">
        <v>1.05</v>
      </c>
      <c r="F211" s="35">
        <v>25.2</v>
      </c>
      <c r="G211" s="36">
        <v>1.0</v>
      </c>
      <c r="H211" s="43">
        <f t="shared" ref="H211:H215" si="67">I211/C211</f>
        <v>1.091666667</v>
      </c>
      <c r="I211" s="43">
        <f t="shared" ref="I211:I215" si="68">F211+G211</f>
        <v>26.2</v>
      </c>
      <c r="J211" s="37"/>
      <c r="K211" s="45">
        <f t="shared" ref="K211:K215" si="69">I211*J211</f>
        <v>0</v>
      </c>
    </row>
    <row r="212" ht="15.0" customHeight="1">
      <c r="A212" s="39" t="s">
        <v>287</v>
      </c>
      <c r="B212" s="40" t="s">
        <v>86</v>
      </c>
      <c r="C212" s="41">
        <v>24.0</v>
      </c>
      <c r="D212" s="33">
        <v>8.5003524801E11</v>
      </c>
      <c r="E212" s="42">
        <v>1.05</v>
      </c>
      <c r="F212" s="35">
        <v>25.2</v>
      </c>
      <c r="G212" s="36">
        <v>1.0</v>
      </c>
      <c r="H212" s="43">
        <f t="shared" si="67"/>
        <v>1.091666667</v>
      </c>
      <c r="I212" s="43">
        <f t="shared" si="68"/>
        <v>26.2</v>
      </c>
      <c r="J212" s="37"/>
      <c r="K212" s="45">
        <f t="shared" si="69"/>
        <v>0</v>
      </c>
    </row>
    <row r="213" ht="15.0" customHeight="1">
      <c r="A213" s="39" t="s">
        <v>288</v>
      </c>
      <c r="B213" s="40" t="s">
        <v>86</v>
      </c>
      <c r="C213" s="41">
        <v>24.0</v>
      </c>
      <c r="D213" s="33">
        <v>8.50035248003E11</v>
      </c>
      <c r="E213" s="42">
        <v>1.05</v>
      </c>
      <c r="F213" s="35">
        <v>25.2</v>
      </c>
      <c r="G213" s="36">
        <v>1.0</v>
      </c>
      <c r="H213" s="43">
        <f t="shared" si="67"/>
        <v>1.091666667</v>
      </c>
      <c r="I213" s="43">
        <f t="shared" si="68"/>
        <v>26.2</v>
      </c>
      <c r="J213" s="37"/>
      <c r="K213" s="45">
        <f t="shared" si="69"/>
        <v>0</v>
      </c>
    </row>
    <row r="214" ht="15.0" customHeight="1">
      <c r="A214" s="39" t="s">
        <v>289</v>
      </c>
      <c r="B214" s="40" t="s">
        <v>86</v>
      </c>
      <c r="C214" s="41">
        <v>24.0</v>
      </c>
      <c r="D214" s="33">
        <v>8.5003524872E11</v>
      </c>
      <c r="E214" s="42">
        <v>1.05</v>
      </c>
      <c r="F214" s="35">
        <v>25.2</v>
      </c>
      <c r="G214" s="36">
        <v>1.0</v>
      </c>
      <c r="H214" s="43">
        <f t="shared" si="67"/>
        <v>1.091666667</v>
      </c>
      <c r="I214" s="43">
        <f t="shared" si="68"/>
        <v>26.2</v>
      </c>
      <c r="J214" s="37"/>
      <c r="K214" s="45">
        <f t="shared" si="69"/>
        <v>0</v>
      </c>
    </row>
    <row r="215" ht="15.0" customHeight="1">
      <c r="A215" s="39" t="s">
        <v>290</v>
      </c>
      <c r="B215" s="40" t="s">
        <v>86</v>
      </c>
      <c r="C215" s="41">
        <v>24.0</v>
      </c>
      <c r="D215" s="33">
        <v>8.50035248041E11</v>
      </c>
      <c r="E215" s="42">
        <v>1.05</v>
      </c>
      <c r="F215" s="35">
        <v>25.2</v>
      </c>
      <c r="G215" s="36">
        <v>1.0</v>
      </c>
      <c r="H215" s="43">
        <f t="shared" si="67"/>
        <v>1.091666667</v>
      </c>
      <c r="I215" s="43">
        <f t="shared" si="68"/>
        <v>26.2</v>
      </c>
      <c r="J215" s="37"/>
      <c r="K215" s="45">
        <f t="shared" si="69"/>
        <v>0</v>
      </c>
    </row>
    <row r="216" ht="15.0" customHeight="1">
      <c r="A216" s="30" t="s">
        <v>291</v>
      </c>
      <c r="B216" s="31"/>
      <c r="C216" s="32"/>
      <c r="D216" s="33"/>
      <c r="E216" s="34"/>
      <c r="F216" s="35"/>
      <c r="G216" s="36"/>
      <c r="H216" s="43"/>
      <c r="I216" s="43"/>
      <c r="J216" s="37"/>
      <c r="K216" s="45"/>
    </row>
    <row r="217" ht="15.0" customHeight="1">
      <c r="A217" s="39" t="s">
        <v>292</v>
      </c>
      <c r="B217" s="40" t="s">
        <v>153</v>
      </c>
      <c r="C217" s="41">
        <v>24.0</v>
      </c>
      <c r="D217" s="33">
        <v>4.712966543489E12</v>
      </c>
      <c r="E217" s="42">
        <v>1.3</v>
      </c>
      <c r="F217" s="35">
        <v>31.2</v>
      </c>
      <c r="G217" s="36">
        <v>1.0</v>
      </c>
      <c r="H217" s="43">
        <f t="shared" ref="H217:H220" si="70">I217/C217</f>
        <v>1.341666667</v>
      </c>
      <c r="I217" s="43">
        <f t="shared" ref="I217:I220" si="71">F217+G217</f>
        <v>32.2</v>
      </c>
      <c r="J217" s="37"/>
      <c r="K217" s="45">
        <f t="shared" ref="K217:K220" si="72">I217*J217</f>
        <v>0</v>
      </c>
    </row>
    <row r="218" ht="15.0" customHeight="1">
      <c r="A218" s="39" t="s">
        <v>293</v>
      </c>
      <c r="B218" s="40" t="s">
        <v>153</v>
      </c>
      <c r="C218" s="41">
        <v>24.0</v>
      </c>
      <c r="D218" s="33">
        <v>4.712966543502E12</v>
      </c>
      <c r="E218" s="42">
        <v>1.3</v>
      </c>
      <c r="F218" s="35">
        <v>31.2</v>
      </c>
      <c r="G218" s="36">
        <v>1.0</v>
      </c>
      <c r="H218" s="43">
        <f t="shared" si="70"/>
        <v>1.341666667</v>
      </c>
      <c r="I218" s="43">
        <f t="shared" si="71"/>
        <v>32.2</v>
      </c>
      <c r="J218" s="37"/>
      <c r="K218" s="45">
        <f t="shared" si="72"/>
        <v>0</v>
      </c>
    </row>
    <row r="219" ht="15.0" customHeight="1">
      <c r="A219" s="39" t="s">
        <v>294</v>
      </c>
      <c r="B219" s="40" t="s">
        <v>153</v>
      </c>
      <c r="C219" s="41">
        <v>24.0</v>
      </c>
      <c r="D219" s="33">
        <v>4.712966543519E12</v>
      </c>
      <c r="E219" s="42">
        <v>1.3</v>
      </c>
      <c r="F219" s="35">
        <v>31.2</v>
      </c>
      <c r="G219" s="36">
        <v>1.0</v>
      </c>
      <c r="H219" s="43">
        <f t="shared" si="70"/>
        <v>1.341666667</v>
      </c>
      <c r="I219" s="43">
        <f t="shared" si="71"/>
        <v>32.2</v>
      </c>
      <c r="J219" s="37"/>
      <c r="K219" s="45">
        <f t="shared" si="72"/>
        <v>0</v>
      </c>
    </row>
    <row r="220" ht="15.0" customHeight="1">
      <c r="A220" s="39" t="s">
        <v>295</v>
      </c>
      <c r="B220" s="40" t="s">
        <v>153</v>
      </c>
      <c r="C220" s="41">
        <v>24.0</v>
      </c>
      <c r="D220" s="33">
        <v>4.712966543526E12</v>
      </c>
      <c r="E220" s="42">
        <v>1.3</v>
      </c>
      <c r="F220" s="35">
        <v>31.2</v>
      </c>
      <c r="G220" s="36">
        <v>1.0</v>
      </c>
      <c r="H220" s="43">
        <f t="shared" si="70"/>
        <v>1.341666667</v>
      </c>
      <c r="I220" s="43">
        <f t="shared" si="71"/>
        <v>32.2</v>
      </c>
      <c r="J220" s="37"/>
      <c r="K220" s="45">
        <f t="shared" si="72"/>
        <v>0</v>
      </c>
    </row>
    <row r="221" ht="15.0" customHeight="1">
      <c r="A221" s="30" t="s">
        <v>296</v>
      </c>
      <c r="B221" s="31"/>
      <c r="C221" s="32"/>
      <c r="D221" s="33"/>
      <c r="E221" s="34"/>
      <c r="F221" s="35"/>
      <c r="G221" s="36"/>
      <c r="H221" s="43"/>
      <c r="I221" s="43"/>
      <c r="J221" s="37"/>
      <c r="K221" s="45"/>
    </row>
    <row r="222" ht="15.0" customHeight="1">
      <c r="A222" s="39" t="s">
        <v>297</v>
      </c>
      <c r="B222" s="40" t="s">
        <v>198</v>
      </c>
      <c r="C222" s="41">
        <v>30.0</v>
      </c>
      <c r="D222" s="33">
        <v>4.902494008004E12</v>
      </c>
      <c r="E222" s="42">
        <v>1.35</v>
      </c>
      <c r="F222" s="35">
        <v>40.5</v>
      </c>
      <c r="G222" s="36">
        <v>1.0</v>
      </c>
      <c r="H222" s="43">
        <f t="shared" ref="H222:H226" si="73">I222/C222</f>
        <v>1.383333333</v>
      </c>
      <c r="I222" s="43">
        <f t="shared" ref="I222:I226" si="74">F222+G222</f>
        <v>41.5</v>
      </c>
      <c r="J222" s="37"/>
      <c r="K222" s="45">
        <f t="shared" ref="K222:K226" si="75">I222*J222</f>
        <v>0</v>
      </c>
    </row>
    <row r="223" ht="15.0" customHeight="1">
      <c r="A223" s="39" t="s">
        <v>298</v>
      </c>
      <c r="B223" s="40" t="s">
        <v>198</v>
      </c>
      <c r="C223" s="41">
        <v>30.0</v>
      </c>
      <c r="D223" s="33">
        <v>4.902494190334E12</v>
      </c>
      <c r="E223" s="42">
        <v>1.35</v>
      </c>
      <c r="F223" s="35">
        <v>40.5</v>
      </c>
      <c r="G223" s="36">
        <v>1.0</v>
      </c>
      <c r="H223" s="43">
        <f t="shared" si="73"/>
        <v>1.383333333</v>
      </c>
      <c r="I223" s="43">
        <f t="shared" si="74"/>
        <v>41.5</v>
      </c>
      <c r="J223" s="37"/>
      <c r="K223" s="45">
        <f t="shared" si="75"/>
        <v>0</v>
      </c>
    </row>
    <row r="224" ht="15.0" customHeight="1">
      <c r="A224" s="39" t="s">
        <v>299</v>
      </c>
      <c r="B224" s="40" t="s">
        <v>198</v>
      </c>
      <c r="C224" s="41">
        <v>30.0</v>
      </c>
      <c r="D224" s="33">
        <v>4.902494090177E12</v>
      </c>
      <c r="E224" s="42">
        <v>1.35</v>
      </c>
      <c r="F224" s="35">
        <v>40.5</v>
      </c>
      <c r="G224" s="36">
        <v>1.0</v>
      </c>
      <c r="H224" s="43">
        <f t="shared" si="73"/>
        <v>1.383333333</v>
      </c>
      <c r="I224" s="43">
        <f t="shared" si="74"/>
        <v>41.5</v>
      </c>
      <c r="J224" s="37"/>
      <c r="K224" s="45">
        <f t="shared" si="75"/>
        <v>0</v>
      </c>
    </row>
    <row r="225" ht="15.0" customHeight="1">
      <c r="A225" s="39" t="s">
        <v>300</v>
      </c>
      <c r="B225" s="40" t="s">
        <v>198</v>
      </c>
      <c r="C225" s="41">
        <v>30.0</v>
      </c>
      <c r="D225" s="33">
        <v>4.902494110042E12</v>
      </c>
      <c r="E225" s="42">
        <v>1.35</v>
      </c>
      <c r="F225" s="35">
        <v>40.5</v>
      </c>
      <c r="G225" s="36">
        <v>1.0</v>
      </c>
      <c r="H225" s="43">
        <f t="shared" si="73"/>
        <v>1.383333333</v>
      </c>
      <c r="I225" s="43">
        <f t="shared" si="74"/>
        <v>41.5</v>
      </c>
      <c r="J225" s="37"/>
      <c r="K225" s="45">
        <f t="shared" si="75"/>
        <v>0</v>
      </c>
    </row>
    <row r="226" ht="15.0" customHeight="1">
      <c r="A226" s="39" t="s">
        <v>301</v>
      </c>
      <c r="B226" s="40" t="s">
        <v>198</v>
      </c>
      <c r="C226" s="41">
        <v>30.0</v>
      </c>
      <c r="D226" s="33">
        <v>4.902494180069E12</v>
      </c>
      <c r="E226" s="42">
        <v>1.35</v>
      </c>
      <c r="F226" s="35">
        <v>40.5</v>
      </c>
      <c r="G226" s="36">
        <v>1.0</v>
      </c>
      <c r="H226" s="43">
        <f t="shared" si="73"/>
        <v>1.383333333</v>
      </c>
      <c r="I226" s="43">
        <f t="shared" si="74"/>
        <v>41.5</v>
      </c>
      <c r="J226" s="37"/>
      <c r="K226" s="45">
        <f t="shared" si="75"/>
        <v>0</v>
      </c>
    </row>
    <row r="227" ht="15.0" customHeight="1">
      <c r="A227" s="30" t="s">
        <v>302</v>
      </c>
      <c r="B227" s="31"/>
      <c r="C227" s="32"/>
      <c r="D227" s="33"/>
      <c r="E227" s="34"/>
      <c r="F227" s="35"/>
      <c r="G227" s="36"/>
      <c r="H227" s="43"/>
      <c r="I227" s="43"/>
      <c r="J227" s="37"/>
      <c r="K227" s="45"/>
    </row>
    <row r="228" ht="15.0" customHeight="1">
      <c r="A228" s="53" t="s">
        <v>303</v>
      </c>
      <c r="B228" s="40" t="s">
        <v>22</v>
      </c>
      <c r="C228" s="100" t="s">
        <v>304</v>
      </c>
      <c r="D228" s="90">
        <v>4.902494240008E12</v>
      </c>
      <c r="E228" s="56">
        <v>1.35</v>
      </c>
      <c r="F228" s="74">
        <f t="shared" ref="F228:F230" si="76">E228*C228</f>
        <v>32.4</v>
      </c>
      <c r="G228" s="36">
        <v>1.0</v>
      </c>
      <c r="H228" s="43">
        <f t="shared" ref="H228:H231" si="77">I228/C228</f>
        <v>1.391666667</v>
      </c>
      <c r="I228" s="43">
        <f t="shared" ref="I228:I231" si="78">F228+G228</f>
        <v>33.4</v>
      </c>
      <c r="J228" s="37"/>
      <c r="K228" s="45">
        <f t="shared" ref="K228:K230" si="79">I228*J228</f>
        <v>0</v>
      </c>
    </row>
    <row r="229" ht="15.0" customHeight="1">
      <c r="A229" s="53" t="s">
        <v>305</v>
      </c>
      <c r="B229" s="40" t="s">
        <v>22</v>
      </c>
      <c r="C229" s="100" t="s">
        <v>304</v>
      </c>
      <c r="D229" s="90">
        <v>4.902494200125E12</v>
      </c>
      <c r="E229" s="56">
        <v>1.35</v>
      </c>
      <c r="F229" s="74">
        <f t="shared" si="76"/>
        <v>32.4</v>
      </c>
      <c r="G229" s="36">
        <v>1.0</v>
      </c>
      <c r="H229" s="43">
        <f t="shared" si="77"/>
        <v>1.391666667</v>
      </c>
      <c r="I229" s="43">
        <f t="shared" si="78"/>
        <v>33.4</v>
      </c>
      <c r="J229" s="37"/>
      <c r="K229" s="45">
        <f t="shared" si="79"/>
        <v>0</v>
      </c>
    </row>
    <row r="230" ht="15.0" customHeight="1">
      <c r="A230" s="53" t="s">
        <v>306</v>
      </c>
      <c r="B230" s="40" t="s">
        <v>22</v>
      </c>
      <c r="C230" s="100" t="s">
        <v>304</v>
      </c>
      <c r="D230" s="90">
        <v>4.902494240022E12</v>
      </c>
      <c r="E230" s="56">
        <v>1.35</v>
      </c>
      <c r="F230" s="74">
        <f t="shared" si="76"/>
        <v>32.4</v>
      </c>
      <c r="G230" s="36">
        <v>1.0</v>
      </c>
      <c r="H230" s="43">
        <f t="shared" si="77"/>
        <v>1.391666667</v>
      </c>
      <c r="I230" s="43">
        <f t="shared" si="78"/>
        <v>33.4</v>
      </c>
      <c r="J230" s="37"/>
      <c r="K230" s="45">
        <f t="shared" si="79"/>
        <v>0</v>
      </c>
    </row>
    <row r="231" ht="15.0" customHeight="1">
      <c r="A231" s="53" t="s">
        <v>307</v>
      </c>
      <c r="B231" s="40" t="s">
        <v>22</v>
      </c>
      <c r="C231" s="100" t="s">
        <v>308</v>
      </c>
      <c r="D231" s="90">
        <v>4.902494210223E12</v>
      </c>
      <c r="E231" s="56">
        <v>1.35</v>
      </c>
      <c r="F231" s="101">
        <v>32.400000000000006</v>
      </c>
      <c r="G231" s="36">
        <v>1.0</v>
      </c>
      <c r="H231" s="43">
        <f t="shared" si="77"/>
        <v>1.336</v>
      </c>
      <c r="I231" s="43">
        <f t="shared" si="78"/>
        <v>33.4</v>
      </c>
      <c r="J231" s="37"/>
      <c r="K231" s="45"/>
    </row>
    <row r="232" ht="15.0" customHeight="1">
      <c r="A232" s="30" t="s">
        <v>309</v>
      </c>
      <c r="B232" s="31"/>
      <c r="C232" s="32"/>
      <c r="D232" s="33"/>
      <c r="E232" s="34"/>
      <c r="F232" s="35"/>
      <c r="G232" s="36"/>
      <c r="H232" s="43"/>
      <c r="I232" s="43"/>
      <c r="J232" s="37"/>
      <c r="K232" s="45"/>
    </row>
    <row r="233" ht="15.0" customHeight="1">
      <c r="A233" s="39" t="s">
        <v>310</v>
      </c>
      <c r="B233" s="40" t="s">
        <v>153</v>
      </c>
      <c r="C233" s="41">
        <v>24.0</v>
      </c>
      <c r="D233" s="33">
        <v>3.700703700463E12</v>
      </c>
      <c r="E233" s="42">
        <v>0.65</v>
      </c>
      <c r="F233" s="35">
        <v>15.6</v>
      </c>
      <c r="G233" s="36">
        <v>2.0</v>
      </c>
      <c r="H233" s="43">
        <f t="shared" ref="H233:H244" si="80">I233/C233</f>
        <v>0.7333333333</v>
      </c>
      <c r="I233" s="43">
        <f t="shared" ref="I233:I244" si="81">F233+G233</f>
        <v>17.6</v>
      </c>
      <c r="J233" s="37"/>
      <c r="K233" s="45">
        <f t="shared" ref="K233:K244" si="82">I233*J233</f>
        <v>0</v>
      </c>
    </row>
    <row r="234" ht="15.0" customHeight="1">
      <c r="A234" s="39" t="s">
        <v>311</v>
      </c>
      <c r="B234" s="40" t="s">
        <v>153</v>
      </c>
      <c r="C234" s="41">
        <v>24.0</v>
      </c>
      <c r="D234" s="33">
        <v>3.70070370047E12</v>
      </c>
      <c r="E234" s="42">
        <v>0.65</v>
      </c>
      <c r="F234" s="35">
        <v>15.6</v>
      </c>
      <c r="G234" s="36">
        <v>2.0</v>
      </c>
      <c r="H234" s="43">
        <f t="shared" si="80"/>
        <v>0.7333333333</v>
      </c>
      <c r="I234" s="43">
        <f t="shared" si="81"/>
        <v>17.6</v>
      </c>
      <c r="J234" s="37"/>
      <c r="K234" s="45">
        <f t="shared" si="82"/>
        <v>0</v>
      </c>
    </row>
    <row r="235" ht="15.0" customHeight="1">
      <c r="A235" s="39" t="s">
        <v>312</v>
      </c>
      <c r="B235" s="40" t="s">
        <v>153</v>
      </c>
      <c r="C235" s="41">
        <v>24.0</v>
      </c>
      <c r="D235" s="33">
        <v>3.700703700517E12</v>
      </c>
      <c r="E235" s="42">
        <v>0.65</v>
      </c>
      <c r="F235" s="35">
        <v>15.6</v>
      </c>
      <c r="G235" s="36">
        <v>2.0</v>
      </c>
      <c r="H235" s="43">
        <f t="shared" si="80"/>
        <v>0.7333333333</v>
      </c>
      <c r="I235" s="43">
        <f t="shared" si="81"/>
        <v>17.6</v>
      </c>
      <c r="J235" s="37"/>
      <c r="K235" s="45">
        <f t="shared" si="82"/>
        <v>0</v>
      </c>
    </row>
    <row r="236" ht="15.0" customHeight="1">
      <c r="A236" s="39" t="s">
        <v>313</v>
      </c>
      <c r="B236" s="40" t="s">
        <v>153</v>
      </c>
      <c r="C236" s="41">
        <v>24.0</v>
      </c>
      <c r="D236" s="33">
        <v>3.700703700371E12</v>
      </c>
      <c r="E236" s="42">
        <v>0.65</v>
      </c>
      <c r="F236" s="35">
        <v>15.6</v>
      </c>
      <c r="G236" s="36">
        <v>2.0</v>
      </c>
      <c r="H236" s="43">
        <f t="shared" si="80"/>
        <v>0.7333333333</v>
      </c>
      <c r="I236" s="43">
        <f t="shared" si="81"/>
        <v>17.6</v>
      </c>
      <c r="J236" s="37"/>
      <c r="K236" s="45">
        <f t="shared" si="82"/>
        <v>0</v>
      </c>
    </row>
    <row r="237" ht="15.0" customHeight="1">
      <c r="A237" s="39" t="s">
        <v>314</v>
      </c>
      <c r="B237" s="40" t="s">
        <v>153</v>
      </c>
      <c r="C237" s="41">
        <v>24.0</v>
      </c>
      <c r="D237" s="33">
        <v>3.7007037005E12</v>
      </c>
      <c r="E237" s="42">
        <v>0.65</v>
      </c>
      <c r="F237" s="35">
        <v>15.6</v>
      </c>
      <c r="G237" s="36">
        <v>2.0</v>
      </c>
      <c r="H237" s="43">
        <f t="shared" si="80"/>
        <v>0.7333333333</v>
      </c>
      <c r="I237" s="43">
        <f t="shared" si="81"/>
        <v>17.6</v>
      </c>
      <c r="J237" s="37"/>
      <c r="K237" s="45">
        <f t="shared" si="82"/>
        <v>0</v>
      </c>
    </row>
    <row r="238" ht="15.0" customHeight="1">
      <c r="A238" s="39" t="s">
        <v>315</v>
      </c>
      <c r="B238" s="40" t="s">
        <v>153</v>
      </c>
      <c r="C238" s="41">
        <v>24.0</v>
      </c>
      <c r="D238" s="33">
        <v>3.700703700548E12</v>
      </c>
      <c r="E238" s="42">
        <v>0.65</v>
      </c>
      <c r="F238" s="35">
        <v>15.6</v>
      </c>
      <c r="G238" s="36">
        <v>2.0</v>
      </c>
      <c r="H238" s="43">
        <f t="shared" si="80"/>
        <v>0.7333333333</v>
      </c>
      <c r="I238" s="43">
        <f t="shared" si="81"/>
        <v>17.6</v>
      </c>
      <c r="J238" s="37"/>
      <c r="K238" s="45">
        <f t="shared" si="82"/>
        <v>0</v>
      </c>
    </row>
    <row r="239" ht="15.0" customHeight="1">
      <c r="A239" s="39" t="s">
        <v>316</v>
      </c>
      <c r="B239" s="40" t="s">
        <v>153</v>
      </c>
      <c r="C239" s="41">
        <v>24.0</v>
      </c>
      <c r="D239" s="33">
        <v>3.700703700487E12</v>
      </c>
      <c r="E239" s="42">
        <v>0.65</v>
      </c>
      <c r="F239" s="35">
        <v>15.6</v>
      </c>
      <c r="G239" s="36">
        <v>2.0</v>
      </c>
      <c r="H239" s="43">
        <f t="shared" si="80"/>
        <v>0.7333333333</v>
      </c>
      <c r="I239" s="43">
        <f t="shared" si="81"/>
        <v>17.6</v>
      </c>
      <c r="J239" s="37"/>
      <c r="K239" s="45">
        <f t="shared" si="82"/>
        <v>0</v>
      </c>
    </row>
    <row r="240" ht="15.0" customHeight="1">
      <c r="A240" s="39" t="s">
        <v>317</v>
      </c>
      <c r="B240" s="40" t="s">
        <v>153</v>
      </c>
      <c r="C240" s="41">
        <v>24.0</v>
      </c>
      <c r="D240" s="33">
        <v>3.700703700494E12</v>
      </c>
      <c r="E240" s="42">
        <v>0.65</v>
      </c>
      <c r="F240" s="35">
        <v>15.6</v>
      </c>
      <c r="G240" s="36">
        <v>2.0</v>
      </c>
      <c r="H240" s="43">
        <f t="shared" si="80"/>
        <v>0.7333333333</v>
      </c>
      <c r="I240" s="43">
        <f t="shared" si="81"/>
        <v>17.6</v>
      </c>
      <c r="J240" s="37"/>
      <c r="K240" s="45">
        <f t="shared" si="82"/>
        <v>0</v>
      </c>
    </row>
    <row r="241" ht="15.0" customHeight="1">
      <c r="A241" s="39" t="s">
        <v>318</v>
      </c>
      <c r="B241" s="40" t="s">
        <v>153</v>
      </c>
      <c r="C241" s="41">
        <v>24.0</v>
      </c>
      <c r="D241" s="33">
        <v>3.700703700869E12</v>
      </c>
      <c r="E241" s="42">
        <v>0.69</v>
      </c>
      <c r="F241" s="35">
        <v>16.56</v>
      </c>
      <c r="G241" s="36">
        <v>2.0</v>
      </c>
      <c r="H241" s="43">
        <f t="shared" si="80"/>
        <v>0.7733333333</v>
      </c>
      <c r="I241" s="43">
        <f t="shared" si="81"/>
        <v>18.56</v>
      </c>
      <c r="J241" s="37"/>
      <c r="K241" s="45">
        <f t="shared" si="82"/>
        <v>0</v>
      </c>
    </row>
    <row r="242" ht="15.0" customHeight="1">
      <c r="A242" s="39" t="s">
        <v>319</v>
      </c>
      <c r="B242" s="40" t="s">
        <v>153</v>
      </c>
      <c r="C242" s="41">
        <v>24.0</v>
      </c>
      <c r="D242" s="33">
        <v>3.700703700883E12</v>
      </c>
      <c r="E242" s="42">
        <v>0.69</v>
      </c>
      <c r="F242" s="35">
        <v>16.56</v>
      </c>
      <c r="G242" s="36">
        <v>2.0</v>
      </c>
      <c r="H242" s="43">
        <f t="shared" si="80"/>
        <v>0.7733333333</v>
      </c>
      <c r="I242" s="43">
        <f t="shared" si="81"/>
        <v>18.56</v>
      </c>
      <c r="J242" s="37"/>
      <c r="K242" s="45">
        <f t="shared" si="82"/>
        <v>0</v>
      </c>
    </row>
    <row r="243" ht="15.0" customHeight="1">
      <c r="A243" s="39" t="s">
        <v>320</v>
      </c>
      <c r="B243" s="40" t="s">
        <v>153</v>
      </c>
      <c r="C243" s="41">
        <v>24.0</v>
      </c>
      <c r="D243" s="33">
        <v>3.700703701583E12</v>
      </c>
      <c r="E243" s="42">
        <v>0.69</v>
      </c>
      <c r="F243" s="35">
        <v>16.56</v>
      </c>
      <c r="G243" s="36">
        <v>2.0</v>
      </c>
      <c r="H243" s="43">
        <f t="shared" si="80"/>
        <v>0.7733333333</v>
      </c>
      <c r="I243" s="43">
        <f t="shared" si="81"/>
        <v>18.56</v>
      </c>
      <c r="J243" s="37"/>
      <c r="K243" s="45">
        <f t="shared" si="82"/>
        <v>0</v>
      </c>
    </row>
    <row r="244" ht="15.0" customHeight="1">
      <c r="A244" s="39" t="s">
        <v>321</v>
      </c>
      <c r="B244" s="40" t="s">
        <v>153</v>
      </c>
      <c r="C244" s="41">
        <v>24.0</v>
      </c>
      <c r="D244" s="33">
        <v>3.70070370092E12</v>
      </c>
      <c r="E244" s="42">
        <v>0.69</v>
      </c>
      <c r="F244" s="35">
        <v>16.56</v>
      </c>
      <c r="G244" s="36">
        <v>2.0</v>
      </c>
      <c r="H244" s="43">
        <f t="shared" si="80"/>
        <v>0.7733333333</v>
      </c>
      <c r="I244" s="43">
        <f t="shared" si="81"/>
        <v>18.56</v>
      </c>
      <c r="J244" s="37"/>
      <c r="K244" s="45">
        <f t="shared" si="82"/>
        <v>0</v>
      </c>
    </row>
    <row r="245" ht="15.0" customHeight="1">
      <c r="A245" s="30" t="s">
        <v>322</v>
      </c>
      <c r="B245" s="31"/>
      <c r="C245" s="32"/>
      <c r="D245" s="33"/>
      <c r="E245" s="34"/>
      <c r="F245" s="35"/>
      <c r="G245" s="36"/>
      <c r="H245" s="43"/>
      <c r="I245" s="43"/>
      <c r="J245" s="37"/>
      <c r="K245" s="45"/>
    </row>
    <row r="246" ht="15.0" customHeight="1">
      <c r="A246" s="39" t="s">
        <v>323</v>
      </c>
      <c r="B246" s="40" t="s">
        <v>324</v>
      </c>
      <c r="C246" s="41">
        <v>24.0</v>
      </c>
      <c r="D246" s="33" t="s">
        <v>325</v>
      </c>
      <c r="E246" s="42">
        <v>1.85</v>
      </c>
      <c r="F246" s="35">
        <v>44.4</v>
      </c>
      <c r="G246" s="36">
        <v>1.0</v>
      </c>
      <c r="H246" s="43">
        <f t="shared" ref="H246:H249" si="83">I246/C246</f>
        <v>1.891666667</v>
      </c>
      <c r="I246" s="43">
        <f t="shared" ref="I246:I249" si="84">F246+G246</f>
        <v>45.4</v>
      </c>
      <c r="J246" s="37"/>
      <c r="K246" s="45">
        <f t="shared" ref="K246:K249" si="85">I246*J246</f>
        <v>0</v>
      </c>
    </row>
    <row r="247" ht="15.0" customHeight="1">
      <c r="A247" s="39" t="s">
        <v>326</v>
      </c>
      <c r="B247" s="40" t="s">
        <v>324</v>
      </c>
      <c r="C247" s="41">
        <v>24.0</v>
      </c>
      <c r="D247" s="33" t="s">
        <v>327</v>
      </c>
      <c r="E247" s="42">
        <v>1.85</v>
      </c>
      <c r="F247" s="35">
        <v>44.4</v>
      </c>
      <c r="G247" s="36">
        <v>1.0</v>
      </c>
      <c r="H247" s="43">
        <f t="shared" si="83"/>
        <v>1.891666667</v>
      </c>
      <c r="I247" s="43">
        <f t="shared" si="84"/>
        <v>45.4</v>
      </c>
      <c r="J247" s="37"/>
      <c r="K247" s="45">
        <f t="shared" si="85"/>
        <v>0</v>
      </c>
    </row>
    <row r="248" ht="15.0" customHeight="1">
      <c r="A248" s="39" t="s">
        <v>328</v>
      </c>
      <c r="B248" s="40" t="s">
        <v>324</v>
      </c>
      <c r="C248" s="41">
        <v>24.0</v>
      </c>
      <c r="D248" s="33" t="s">
        <v>329</v>
      </c>
      <c r="E248" s="42">
        <v>1.85</v>
      </c>
      <c r="F248" s="35">
        <v>44.4</v>
      </c>
      <c r="G248" s="36">
        <v>1.0</v>
      </c>
      <c r="H248" s="43">
        <f t="shared" si="83"/>
        <v>1.891666667</v>
      </c>
      <c r="I248" s="43">
        <f t="shared" si="84"/>
        <v>45.4</v>
      </c>
      <c r="J248" s="37"/>
      <c r="K248" s="45">
        <f t="shared" si="85"/>
        <v>0</v>
      </c>
    </row>
    <row r="249" ht="15.0" customHeight="1">
      <c r="A249" s="39" t="s">
        <v>330</v>
      </c>
      <c r="B249" s="40" t="s">
        <v>324</v>
      </c>
      <c r="C249" s="41">
        <v>24.0</v>
      </c>
      <c r="D249" s="33" t="s">
        <v>331</v>
      </c>
      <c r="E249" s="42">
        <v>1.85</v>
      </c>
      <c r="F249" s="35">
        <v>44.4</v>
      </c>
      <c r="G249" s="36">
        <v>1.0</v>
      </c>
      <c r="H249" s="43">
        <f t="shared" si="83"/>
        <v>1.891666667</v>
      </c>
      <c r="I249" s="43">
        <f t="shared" si="84"/>
        <v>45.4</v>
      </c>
      <c r="J249" s="37"/>
      <c r="K249" s="45">
        <f t="shared" si="85"/>
        <v>0</v>
      </c>
    </row>
    <row r="250" ht="15.0" customHeight="1">
      <c r="A250" s="30" t="s">
        <v>332</v>
      </c>
      <c r="B250" s="31"/>
      <c r="C250" s="32"/>
      <c r="D250" s="33"/>
      <c r="E250" s="34"/>
      <c r="F250" s="35"/>
      <c r="G250" s="36"/>
      <c r="H250" s="43"/>
      <c r="I250" s="43"/>
      <c r="J250" s="37"/>
      <c r="K250" s="45"/>
    </row>
    <row r="251" ht="15.0" customHeight="1">
      <c r="A251" s="39" t="s">
        <v>333</v>
      </c>
      <c r="B251" s="40" t="s">
        <v>22</v>
      </c>
      <c r="C251" s="41">
        <v>6.0</v>
      </c>
      <c r="D251" s="33" t="s">
        <v>334</v>
      </c>
      <c r="E251" s="42">
        <v>0.99</v>
      </c>
      <c r="F251" s="35">
        <v>5.94</v>
      </c>
      <c r="G251" s="36">
        <v>1.0</v>
      </c>
      <c r="H251" s="43">
        <f t="shared" ref="H251:H264" si="86">I251/C251</f>
        <v>1.156666667</v>
      </c>
      <c r="I251" s="43">
        <f t="shared" ref="I251:I264" si="87">F251+G251</f>
        <v>6.94</v>
      </c>
      <c r="J251" s="37"/>
      <c r="K251" s="45">
        <f t="shared" ref="K251:K264" si="88">I251*J251</f>
        <v>0</v>
      </c>
    </row>
    <row r="252" ht="15.0" customHeight="1">
      <c r="A252" s="39" t="s">
        <v>335</v>
      </c>
      <c r="B252" s="40" t="s">
        <v>22</v>
      </c>
      <c r="C252" s="41">
        <v>6.0</v>
      </c>
      <c r="D252" s="33" t="s">
        <v>336</v>
      </c>
      <c r="E252" s="42">
        <v>0.99</v>
      </c>
      <c r="F252" s="35">
        <v>5.94</v>
      </c>
      <c r="G252" s="36">
        <v>1.0</v>
      </c>
      <c r="H252" s="43">
        <f t="shared" si="86"/>
        <v>1.156666667</v>
      </c>
      <c r="I252" s="43">
        <f t="shared" si="87"/>
        <v>6.94</v>
      </c>
      <c r="J252" s="37"/>
      <c r="K252" s="45">
        <f t="shared" si="88"/>
        <v>0</v>
      </c>
    </row>
    <row r="253" ht="15.0" customHeight="1">
      <c r="A253" s="39" t="s">
        <v>337</v>
      </c>
      <c r="B253" s="40" t="s">
        <v>22</v>
      </c>
      <c r="C253" s="41">
        <v>6.0</v>
      </c>
      <c r="D253" s="33" t="s">
        <v>338</v>
      </c>
      <c r="E253" s="42">
        <v>0.99</v>
      </c>
      <c r="F253" s="35">
        <v>5.94</v>
      </c>
      <c r="G253" s="36">
        <v>1.0</v>
      </c>
      <c r="H253" s="43">
        <f t="shared" si="86"/>
        <v>1.156666667</v>
      </c>
      <c r="I253" s="43">
        <f t="shared" si="87"/>
        <v>6.94</v>
      </c>
      <c r="J253" s="37"/>
      <c r="K253" s="45">
        <f t="shared" si="88"/>
        <v>0</v>
      </c>
    </row>
    <row r="254" ht="15.0" customHeight="1">
      <c r="A254" s="39" t="s">
        <v>339</v>
      </c>
      <c r="B254" s="40" t="s">
        <v>22</v>
      </c>
      <c r="C254" s="41">
        <v>6.0</v>
      </c>
      <c r="D254" s="33" t="s">
        <v>340</v>
      </c>
      <c r="E254" s="42">
        <v>0.99</v>
      </c>
      <c r="F254" s="35">
        <v>5.94</v>
      </c>
      <c r="G254" s="36">
        <v>1.0</v>
      </c>
      <c r="H254" s="43">
        <f t="shared" si="86"/>
        <v>1.156666667</v>
      </c>
      <c r="I254" s="43">
        <f t="shared" si="87"/>
        <v>6.94</v>
      </c>
      <c r="J254" s="37"/>
      <c r="K254" s="45">
        <f t="shared" si="88"/>
        <v>0</v>
      </c>
    </row>
    <row r="255" ht="15.0" customHeight="1">
      <c r="A255" s="39" t="s">
        <v>341</v>
      </c>
      <c r="B255" s="40" t="s">
        <v>22</v>
      </c>
      <c r="C255" s="41">
        <v>6.0</v>
      </c>
      <c r="D255" s="33" t="s">
        <v>342</v>
      </c>
      <c r="E255" s="42">
        <v>0.99</v>
      </c>
      <c r="F255" s="35">
        <v>5.94</v>
      </c>
      <c r="G255" s="36">
        <v>1.0</v>
      </c>
      <c r="H255" s="43">
        <f t="shared" si="86"/>
        <v>1.156666667</v>
      </c>
      <c r="I255" s="43">
        <f t="shared" si="87"/>
        <v>6.94</v>
      </c>
      <c r="J255" s="37"/>
      <c r="K255" s="45">
        <f t="shared" si="88"/>
        <v>0</v>
      </c>
    </row>
    <row r="256" ht="15.0" customHeight="1">
      <c r="A256" s="39" t="s">
        <v>343</v>
      </c>
      <c r="B256" s="40" t="s">
        <v>22</v>
      </c>
      <c r="C256" s="41">
        <v>6.0</v>
      </c>
      <c r="D256" s="33" t="s">
        <v>344</v>
      </c>
      <c r="E256" s="42">
        <v>0.99</v>
      </c>
      <c r="F256" s="35">
        <v>5.94</v>
      </c>
      <c r="G256" s="36">
        <v>1.0</v>
      </c>
      <c r="H256" s="43">
        <f t="shared" si="86"/>
        <v>1.156666667</v>
      </c>
      <c r="I256" s="43">
        <f t="shared" si="87"/>
        <v>6.94</v>
      </c>
      <c r="J256" s="37"/>
      <c r="K256" s="45">
        <f t="shared" si="88"/>
        <v>0</v>
      </c>
    </row>
    <row r="257" ht="15.0" customHeight="1">
      <c r="A257" s="39" t="s">
        <v>345</v>
      </c>
      <c r="B257" s="40" t="s">
        <v>22</v>
      </c>
      <c r="C257" s="41">
        <v>6.0</v>
      </c>
      <c r="D257" s="33" t="s">
        <v>346</v>
      </c>
      <c r="E257" s="42">
        <v>0.99</v>
      </c>
      <c r="F257" s="35">
        <v>5.94</v>
      </c>
      <c r="G257" s="36">
        <v>1.0</v>
      </c>
      <c r="H257" s="43">
        <f t="shared" si="86"/>
        <v>1.156666667</v>
      </c>
      <c r="I257" s="43">
        <f t="shared" si="87"/>
        <v>6.94</v>
      </c>
      <c r="J257" s="37"/>
      <c r="K257" s="45">
        <f t="shared" si="88"/>
        <v>0</v>
      </c>
    </row>
    <row r="258" ht="15.0" customHeight="1">
      <c r="A258" s="39" t="s">
        <v>347</v>
      </c>
      <c r="B258" s="40" t="s">
        <v>22</v>
      </c>
      <c r="C258" s="41">
        <v>6.0</v>
      </c>
      <c r="D258" s="33" t="s">
        <v>348</v>
      </c>
      <c r="E258" s="42">
        <v>0.99</v>
      </c>
      <c r="F258" s="35">
        <v>5.94</v>
      </c>
      <c r="G258" s="36">
        <v>1.0</v>
      </c>
      <c r="H258" s="43">
        <f t="shared" si="86"/>
        <v>1.156666667</v>
      </c>
      <c r="I258" s="43">
        <f t="shared" si="87"/>
        <v>6.94</v>
      </c>
      <c r="J258" s="37"/>
      <c r="K258" s="45">
        <f t="shared" si="88"/>
        <v>0</v>
      </c>
    </row>
    <row r="259" ht="15.0" customHeight="1">
      <c r="A259" s="39" t="s">
        <v>349</v>
      </c>
      <c r="B259" s="40" t="s">
        <v>22</v>
      </c>
      <c r="C259" s="41">
        <v>6.0</v>
      </c>
      <c r="D259" s="33" t="s">
        <v>350</v>
      </c>
      <c r="E259" s="42">
        <v>0.99</v>
      </c>
      <c r="F259" s="35">
        <v>5.94</v>
      </c>
      <c r="G259" s="36">
        <v>1.0</v>
      </c>
      <c r="H259" s="43">
        <f t="shared" si="86"/>
        <v>1.156666667</v>
      </c>
      <c r="I259" s="43">
        <f t="shared" si="87"/>
        <v>6.94</v>
      </c>
      <c r="J259" s="37"/>
      <c r="K259" s="45">
        <f t="shared" si="88"/>
        <v>0</v>
      </c>
    </row>
    <row r="260" ht="15.0" customHeight="1">
      <c r="A260" s="39" t="s">
        <v>351</v>
      </c>
      <c r="B260" s="40" t="s">
        <v>22</v>
      </c>
      <c r="C260" s="41">
        <v>6.0</v>
      </c>
      <c r="D260" s="33" t="s">
        <v>352</v>
      </c>
      <c r="E260" s="42">
        <v>0.99</v>
      </c>
      <c r="F260" s="35">
        <v>5.94</v>
      </c>
      <c r="G260" s="36">
        <v>1.0</v>
      </c>
      <c r="H260" s="43">
        <f t="shared" si="86"/>
        <v>1.156666667</v>
      </c>
      <c r="I260" s="43">
        <f t="shared" si="87"/>
        <v>6.94</v>
      </c>
      <c r="J260" s="37"/>
      <c r="K260" s="45">
        <f t="shared" si="88"/>
        <v>0</v>
      </c>
    </row>
    <row r="261" ht="15.0" customHeight="1">
      <c r="A261" s="39" t="s">
        <v>353</v>
      </c>
      <c r="B261" s="40" t="s">
        <v>22</v>
      </c>
      <c r="C261" s="41">
        <v>6.0</v>
      </c>
      <c r="D261" s="33" t="s">
        <v>354</v>
      </c>
      <c r="E261" s="42">
        <v>0.99</v>
      </c>
      <c r="F261" s="35">
        <v>5.94</v>
      </c>
      <c r="G261" s="36">
        <v>1.0</v>
      </c>
      <c r="H261" s="43">
        <f t="shared" si="86"/>
        <v>1.156666667</v>
      </c>
      <c r="I261" s="43">
        <f t="shared" si="87"/>
        <v>6.94</v>
      </c>
      <c r="J261" s="37"/>
      <c r="K261" s="45">
        <f t="shared" si="88"/>
        <v>0</v>
      </c>
    </row>
    <row r="262" ht="15.0" customHeight="1">
      <c r="A262" s="39" t="s">
        <v>355</v>
      </c>
      <c r="B262" s="40" t="s">
        <v>22</v>
      </c>
      <c r="C262" s="41">
        <v>6.0</v>
      </c>
      <c r="D262" s="33" t="s">
        <v>356</v>
      </c>
      <c r="E262" s="42">
        <v>0.99</v>
      </c>
      <c r="F262" s="35">
        <v>5.94</v>
      </c>
      <c r="G262" s="36">
        <v>1.0</v>
      </c>
      <c r="H262" s="43">
        <f t="shared" si="86"/>
        <v>1.156666667</v>
      </c>
      <c r="I262" s="43">
        <f t="shared" si="87"/>
        <v>6.94</v>
      </c>
      <c r="J262" s="37"/>
      <c r="K262" s="45">
        <f t="shared" si="88"/>
        <v>0</v>
      </c>
    </row>
    <row r="263" ht="15.0" customHeight="1">
      <c r="A263" s="39" t="s">
        <v>357</v>
      </c>
      <c r="B263" s="40" t="s">
        <v>22</v>
      </c>
      <c r="C263" s="41">
        <v>6.0</v>
      </c>
      <c r="D263" s="33" t="s">
        <v>358</v>
      </c>
      <c r="E263" s="42">
        <v>0.99</v>
      </c>
      <c r="F263" s="35">
        <v>5.94</v>
      </c>
      <c r="G263" s="36">
        <v>1.0</v>
      </c>
      <c r="H263" s="43">
        <f t="shared" si="86"/>
        <v>1.156666667</v>
      </c>
      <c r="I263" s="43">
        <f t="shared" si="87"/>
        <v>6.94</v>
      </c>
      <c r="J263" s="37"/>
      <c r="K263" s="45">
        <f t="shared" si="88"/>
        <v>0</v>
      </c>
    </row>
    <row r="264" ht="15.0" customHeight="1">
      <c r="A264" s="39" t="s">
        <v>359</v>
      </c>
      <c r="B264" s="40" t="s">
        <v>22</v>
      </c>
      <c r="C264" s="41">
        <v>6.0</v>
      </c>
      <c r="D264" s="33" t="s">
        <v>360</v>
      </c>
      <c r="E264" s="42">
        <v>0.99</v>
      </c>
      <c r="F264" s="35">
        <v>5.94</v>
      </c>
      <c r="G264" s="36">
        <v>1.0</v>
      </c>
      <c r="H264" s="43">
        <f t="shared" si="86"/>
        <v>1.156666667</v>
      </c>
      <c r="I264" s="43">
        <f t="shared" si="87"/>
        <v>6.94</v>
      </c>
      <c r="J264" s="37"/>
      <c r="K264" s="45">
        <f t="shared" si="88"/>
        <v>0</v>
      </c>
    </row>
    <row r="265" ht="15.0" customHeight="1">
      <c r="A265" s="30" t="s">
        <v>361</v>
      </c>
      <c r="B265" s="31"/>
      <c r="C265" s="32"/>
      <c r="D265" s="33"/>
      <c r="E265" s="34"/>
      <c r="F265" s="35"/>
      <c r="G265" s="36"/>
      <c r="H265" s="43"/>
      <c r="I265" s="43"/>
      <c r="J265" s="37"/>
      <c r="K265" s="45"/>
    </row>
    <row r="266" ht="15.0" customHeight="1">
      <c r="A266" s="39" t="s">
        <v>362</v>
      </c>
      <c r="B266" s="40" t="s">
        <v>198</v>
      </c>
      <c r="C266" s="41">
        <v>40.0</v>
      </c>
      <c r="D266" s="70" t="s">
        <v>363</v>
      </c>
      <c r="E266" s="71">
        <v>0.37</v>
      </c>
      <c r="F266" s="57">
        <v>14.6</v>
      </c>
      <c r="G266" s="36">
        <v>1.0</v>
      </c>
      <c r="H266" s="43">
        <f t="shared" ref="H266:H280" si="89">I266/C266</f>
        <v>0.39</v>
      </c>
      <c r="I266" s="43">
        <f t="shared" ref="I266:I280" si="90">F266+G266</f>
        <v>15.6</v>
      </c>
      <c r="J266" s="37"/>
      <c r="K266" s="45">
        <f t="shared" ref="K266:K280" si="91">I266*J266</f>
        <v>0</v>
      </c>
    </row>
    <row r="267" ht="15.0" customHeight="1">
      <c r="A267" s="39" t="s">
        <v>364</v>
      </c>
      <c r="B267" s="40" t="s">
        <v>198</v>
      </c>
      <c r="C267" s="41">
        <v>40.0</v>
      </c>
      <c r="D267" s="33" t="s">
        <v>365</v>
      </c>
      <c r="E267" s="42">
        <v>0.365</v>
      </c>
      <c r="F267" s="35">
        <v>14.6</v>
      </c>
      <c r="G267" s="36">
        <v>1.0</v>
      </c>
      <c r="H267" s="43">
        <f t="shared" si="89"/>
        <v>0.39</v>
      </c>
      <c r="I267" s="43">
        <f t="shared" si="90"/>
        <v>15.6</v>
      </c>
      <c r="J267" s="37"/>
      <c r="K267" s="45">
        <f t="shared" si="91"/>
        <v>0</v>
      </c>
    </row>
    <row r="268" ht="15.0" customHeight="1">
      <c r="A268" s="39" t="s">
        <v>366</v>
      </c>
      <c r="B268" s="40" t="s">
        <v>198</v>
      </c>
      <c r="C268" s="41">
        <v>40.0</v>
      </c>
      <c r="D268" s="33" t="s">
        <v>367</v>
      </c>
      <c r="E268" s="42">
        <v>0.365</v>
      </c>
      <c r="F268" s="35">
        <v>14.6</v>
      </c>
      <c r="G268" s="36">
        <v>1.0</v>
      </c>
      <c r="H268" s="43">
        <f t="shared" si="89"/>
        <v>0.39</v>
      </c>
      <c r="I268" s="43">
        <f t="shared" si="90"/>
        <v>15.6</v>
      </c>
      <c r="J268" s="37"/>
      <c r="K268" s="45">
        <f t="shared" si="91"/>
        <v>0</v>
      </c>
    </row>
    <row r="269" ht="15.0" customHeight="1">
      <c r="A269" s="39" t="s">
        <v>368</v>
      </c>
      <c r="B269" s="40" t="s">
        <v>198</v>
      </c>
      <c r="C269" s="41">
        <v>40.0</v>
      </c>
      <c r="D269" s="33" t="s">
        <v>369</v>
      </c>
      <c r="E269" s="42">
        <v>0.365</v>
      </c>
      <c r="F269" s="35">
        <v>14.6</v>
      </c>
      <c r="G269" s="36">
        <v>1.0</v>
      </c>
      <c r="H269" s="43">
        <f t="shared" si="89"/>
        <v>0.39</v>
      </c>
      <c r="I269" s="43">
        <f t="shared" si="90"/>
        <v>15.6</v>
      </c>
      <c r="J269" s="37"/>
      <c r="K269" s="45">
        <f t="shared" si="91"/>
        <v>0</v>
      </c>
    </row>
    <row r="270" ht="15.0" customHeight="1">
      <c r="A270" s="39" t="s">
        <v>370</v>
      </c>
      <c r="B270" s="40" t="s">
        <v>198</v>
      </c>
      <c r="C270" s="41">
        <v>40.0</v>
      </c>
      <c r="D270" s="33" t="s">
        <v>371</v>
      </c>
      <c r="E270" s="42">
        <v>0.365</v>
      </c>
      <c r="F270" s="35">
        <v>14.6</v>
      </c>
      <c r="G270" s="36">
        <v>1.0</v>
      </c>
      <c r="H270" s="43">
        <f t="shared" si="89"/>
        <v>0.39</v>
      </c>
      <c r="I270" s="43">
        <f t="shared" si="90"/>
        <v>15.6</v>
      </c>
      <c r="J270" s="37"/>
      <c r="K270" s="45">
        <f t="shared" si="91"/>
        <v>0</v>
      </c>
    </row>
    <row r="271" ht="15.0" customHeight="1">
      <c r="A271" s="39" t="s">
        <v>372</v>
      </c>
      <c r="B271" s="40" t="s">
        <v>198</v>
      </c>
      <c r="C271" s="41">
        <v>40.0</v>
      </c>
      <c r="D271" s="33" t="s">
        <v>373</v>
      </c>
      <c r="E271" s="42">
        <v>0.365</v>
      </c>
      <c r="F271" s="35">
        <v>14.6</v>
      </c>
      <c r="G271" s="36">
        <v>1.0</v>
      </c>
      <c r="H271" s="43">
        <f t="shared" si="89"/>
        <v>0.39</v>
      </c>
      <c r="I271" s="43">
        <f t="shared" si="90"/>
        <v>15.6</v>
      </c>
      <c r="J271" s="37"/>
      <c r="K271" s="45">
        <f t="shared" si="91"/>
        <v>0</v>
      </c>
    </row>
    <row r="272" ht="15.0" customHeight="1">
      <c r="A272" s="39" t="s">
        <v>374</v>
      </c>
      <c r="B272" s="40" t="s">
        <v>198</v>
      </c>
      <c r="C272" s="41">
        <v>40.0</v>
      </c>
      <c r="D272" s="33" t="s">
        <v>375</v>
      </c>
      <c r="E272" s="42">
        <v>0.365</v>
      </c>
      <c r="F272" s="35">
        <v>14.6</v>
      </c>
      <c r="G272" s="36">
        <v>1.0</v>
      </c>
      <c r="H272" s="43">
        <f t="shared" si="89"/>
        <v>0.39</v>
      </c>
      <c r="I272" s="43">
        <f t="shared" si="90"/>
        <v>15.6</v>
      </c>
      <c r="J272" s="37"/>
      <c r="K272" s="45">
        <f t="shared" si="91"/>
        <v>0</v>
      </c>
    </row>
    <row r="273" ht="15.0" customHeight="1">
      <c r="A273" s="39" t="s">
        <v>376</v>
      </c>
      <c r="B273" s="40" t="s">
        <v>198</v>
      </c>
      <c r="C273" s="41">
        <v>40.0</v>
      </c>
      <c r="D273" s="33" t="s">
        <v>377</v>
      </c>
      <c r="E273" s="42">
        <v>0.365</v>
      </c>
      <c r="F273" s="35">
        <v>14.6</v>
      </c>
      <c r="G273" s="36">
        <v>1.0</v>
      </c>
      <c r="H273" s="43">
        <f t="shared" si="89"/>
        <v>0.39</v>
      </c>
      <c r="I273" s="43">
        <f t="shared" si="90"/>
        <v>15.6</v>
      </c>
      <c r="J273" s="37"/>
      <c r="K273" s="45">
        <f t="shared" si="91"/>
        <v>0</v>
      </c>
    </row>
    <row r="274" ht="15.0" customHeight="1">
      <c r="A274" s="39" t="s">
        <v>378</v>
      </c>
      <c r="B274" s="40" t="s">
        <v>198</v>
      </c>
      <c r="C274" s="41">
        <v>40.0</v>
      </c>
      <c r="D274" s="33" t="s">
        <v>379</v>
      </c>
      <c r="E274" s="42">
        <v>0.365</v>
      </c>
      <c r="F274" s="35">
        <v>14.6</v>
      </c>
      <c r="G274" s="36">
        <v>1.0</v>
      </c>
      <c r="H274" s="43">
        <f t="shared" si="89"/>
        <v>0.39</v>
      </c>
      <c r="I274" s="43">
        <f t="shared" si="90"/>
        <v>15.6</v>
      </c>
      <c r="J274" s="37"/>
      <c r="K274" s="45">
        <f t="shared" si="91"/>
        <v>0</v>
      </c>
    </row>
    <row r="275" ht="15.0" customHeight="1">
      <c r="A275" s="39" t="s">
        <v>380</v>
      </c>
      <c r="B275" s="40" t="s">
        <v>198</v>
      </c>
      <c r="C275" s="41">
        <v>40.0</v>
      </c>
      <c r="D275" s="33" t="s">
        <v>381</v>
      </c>
      <c r="E275" s="42">
        <v>0.365</v>
      </c>
      <c r="F275" s="35">
        <v>14.6</v>
      </c>
      <c r="G275" s="36">
        <v>1.0</v>
      </c>
      <c r="H275" s="43">
        <f t="shared" si="89"/>
        <v>0.39</v>
      </c>
      <c r="I275" s="43">
        <f t="shared" si="90"/>
        <v>15.6</v>
      </c>
      <c r="J275" s="37"/>
      <c r="K275" s="45">
        <f t="shared" si="91"/>
        <v>0</v>
      </c>
    </row>
    <row r="276" ht="15.0" customHeight="1">
      <c r="A276" s="39" t="s">
        <v>382</v>
      </c>
      <c r="B276" s="40" t="s">
        <v>198</v>
      </c>
      <c r="C276" s="41">
        <v>40.0</v>
      </c>
      <c r="D276" s="33" t="s">
        <v>383</v>
      </c>
      <c r="E276" s="42">
        <v>0.365</v>
      </c>
      <c r="F276" s="35">
        <v>14.6</v>
      </c>
      <c r="G276" s="36">
        <v>1.0</v>
      </c>
      <c r="H276" s="43">
        <f t="shared" si="89"/>
        <v>0.39</v>
      </c>
      <c r="I276" s="43">
        <f t="shared" si="90"/>
        <v>15.6</v>
      </c>
      <c r="J276" s="37"/>
      <c r="K276" s="45">
        <f t="shared" si="91"/>
        <v>0</v>
      </c>
    </row>
    <row r="277" ht="15.0" customHeight="1">
      <c r="A277" s="39" t="s">
        <v>384</v>
      </c>
      <c r="B277" s="40" t="s">
        <v>153</v>
      </c>
      <c r="C277" s="41">
        <v>15.0</v>
      </c>
      <c r="D277" s="33" t="s">
        <v>385</v>
      </c>
      <c r="E277" s="42">
        <v>0.9</v>
      </c>
      <c r="F277" s="35">
        <v>13.5</v>
      </c>
      <c r="G277" s="36">
        <v>1.0</v>
      </c>
      <c r="H277" s="43">
        <f t="shared" si="89"/>
        <v>0.9666666667</v>
      </c>
      <c r="I277" s="43">
        <f t="shared" si="90"/>
        <v>14.5</v>
      </c>
      <c r="J277" s="37"/>
      <c r="K277" s="45">
        <f t="shared" si="91"/>
        <v>0</v>
      </c>
    </row>
    <row r="278" ht="15.0" customHeight="1">
      <c r="A278" s="39" t="s">
        <v>386</v>
      </c>
      <c r="B278" s="40" t="s">
        <v>153</v>
      </c>
      <c r="C278" s="41">
        <v>15.0</v>
      </c>
      <c r="D278" s="33" t="s">
        <v>387</v>
      </c>
      <c r="E278" s="42">
        <v>0.9</v>
      </c>
      <c r="F278" s="35">
        <v>13.5</v>
      </c>
      <c r="G278" s="36">
        <v>1.0</v>
      </c>
      <c r="H278" s="43">
        <f t="shared" si="89"/>
        <v>0.9666666667</v>
      </c>
      <c r="I278" s="43">
        <f t="shared" si="90"/>
        <v>14.5</v>
      </c>
      <c r="J278" s="37"/>
      <c r="K278" s="45">
        <f t="shared" si="91"/>
        <v>0</v>
      </c>
    </row>
    <row r="279" ht="15.0" customHeight="1">
      <c r="A279" s="39" t="s">
        <v>388</v>
      </c>
      <c r="B279" s="40" t="s">
        <v>153</v>
      </c>
      <c r="C279" s="41">
        <v>15.0</v>
      </c>
      <c r="D279" s="33" t="s">
        <v>389</v>
      </c>
      <c r="E279" s="42">
        <v>0.9</v>
      </c>
      <c r="F279" s="35">
        <v>13.5</v>
      </c>
      <c r="G279" s="36">
        <v>1.0</v>
      </c>
      <c r="H279" s="43">
        <f t="shared" si="89"/>
        <v>0.9666666667</v>
      </c>
      <c r="I279" s="43">
        <f t="shared" si="90"/>
        <v>14.5</v>
      </c>
      <c r="J279" s="37"/>
      <c r="K279" s="45">
        <f t="shared" si="91"/>
        <v>0</v>
      </c>
    </row>
    <row r="280" ht="15.0" customHeight="1">
      <c r="A280" s="48" t="s">
        <v>390</v>
      </c>
      <c r="B280" s="40" t="s">
        <v>153</v>
      </c>
      <c r="C280" s="41">
        <v>15.0</v>
      </c>
      <c r="D280" s="102" t="s">
        <v>391</v>
      </c>
      <c r="E280" s="42">
        <v>0.9</v>
      </c>
      <c r="F280" s="35">
        <v>13.5</v>
      </c>
      <c r="G280" s="36">
        <v>1.0</v>
      </c>
      <c r="H280" s="43">
        <f t="shared" si="89"/>
        <v>0.9666666667</v>
      </c>
      <c r="I280" s="43">
        <f t="shared" si="90"/>
        <v>14.5</v>
      </c>
      <c r="J280" s="37"/>
      <c r="K280" s="45">
        <f t="shared" si="91"/>
        <v>0</v>
      </c>
    </row>
    <row r="281" ht="15.0" customHeight="1">
      <c r="A281" s="103" t="s">
        <v>392</v>
      </c>
      <c r="B281" s="77"/>
      <c r="C281" s="77"/>
      <c r="D281" s="78"/>
      <c r="E281" s="79"/>
      <c r="F281" s="79"/>
      <c r="G281" s="36"/>
      <c r="H281" s="43"/>
      <c r="I281" s="43"/>
      <c r="J281" s="37"/>
      <c r="K281" s="45"/>
    </row>
    <row r="282" ht="15.0" customHeight="1">
      <c r="A282" s="104" t="s">
        <v>393</v>
      </c>
      <c r="B282" s="40" t="s">
        <v>198</v>
      </c>
      <c r="C282" s="41">
        <v>16.0</v>
      </c>
      <c r="D282" s="70">
        <v>5.310364000512E12</v>
      </c>
      <c r="E282" s="105">
        <v>0.37</v>
      </c>
      <c r="F282" s="57">
        <f t="shared" ref="F282:F288" si="92">C282*E282</f>
        <v>5.92</v>
      </c>
      <c r="G282" s="36">
        <v>1.0</v>
      </c>
      <c r="H282" s="43">
        <f t="shared" ref="H282:H288" si="93">I282/C282</f>
        <v>0.4325</v>
      </c>
      <c r="I282" s="43">
        <f t="shared" ref="I282:I288" si="94">F282+G282</f>
        <v>6.92</v>
      </c>
      <c r="J282" s="37"/>
      <c r="K282" s="45">
        <f t="shared" ref="K282:K288" si="95">I282*J282</f>
        <v>0</v>
      </c>
    </row>
    <row r="283" ht="15.0" customHeight="1">
      <c r="A283" s="104" t="s">
        <v>394</v>
      </c>
      <c r="B283" s="40" t="s">
        <v>198</v>
      </c>
      <c r="C283" s="41">
        <v>16.0</v>
      </c>
      <c r="D283" s="70">
        <v>5.319990227331E12</v>
      </c>
      <c r="E283" s="105">
        <v>0.37</v>
      </c>
      <c r="F283" s="57">
        <f t="shared" si="92"/>
        <v>5.92</v>
      </c>
      <c r="G283" s="36">
        <v>1.0</v>
      </c>
      <c r="H283" s="43">
        <f t="shared" si="93"/>
        <v>0.4325</v>
      </c>
      <c r="I283" s="43">
        <f t="shared" si="94"/>
        <v>6.92</v>
      </c>
      <c r="J283" s="37"/>
      <c r="K283" s="45">
        <f t="shared" si="95"/>
        <v>0</v>
      </c>
    </row>
    <row r="284" ht="15.0" customHeight="1">
      <c r="A284" s="104" t="s">
        <v>395</v>
      </c>
      <c r="B284" s="40" t="s">
        <v>198</v>
      </c>
      <c r="C284" s="41">
        <v>16.0</v>
      </c>
      <c r="D284" s="70">
        <v>5.319990227324E12</v>
      </c>
      <c r="E284" s="105">
        <v>0.37</v>
      </c>
      <c r="F284" s="57">
        <f t="shared" si="92"/>
        <v>5.92</v>
      </c>
      <c r="G284" s="36">
        <v>1.0</v>
      </c>
      <c r="H284" s="43">
        <f t="shared" si="93"/>
        <v>0.4325</v>
      </c>
      <c r="I284" s="43">
        <f t="shared" si="94"/>
        <v>6.92</v>
      </c>
      <c r="J284" s="37"/>
      <c r="K284" s="45">
        <f t="shared" si="95"/>
        <v>0</v>
      </c>
    </row>
    <row r="285" ht="15.0" customHeight="1">
      <c r="A285" s="104" t="s">
        <v>396</v>
      </c>
      <c r="B285" s="40" t="s">
        <v>198</v>
      </c>
      <c r="C285" s="41">
        <v>16.0</v>
      </c>
      <c r="D285" s="70">
        <v>5.319990227966E12</v>
      </c>
      <c r="E285" s="105">
        <v>0.37</v>
      </c>
      <c r="F285" s="57">
        <f t="shared" si="92"/>
        <v>5.92</v>
      </c>
      <c r="G285" s="36">
        <v>1.0</v>
      </c>
      <c r="H285" s="43">
        <f t="shared" si="93"/>
        <v>0.4325</v>
      </c>
      <c r="I285" s="43">
        <f t="shared" si="94"/>
        <v>6.92</v>
      </c>
      <c r="J285" s="37"/>
      <c r="K285" s="45">
        <f t="shared" si="95"/>
        <v>0</v>
      </c>
    </row>
    <row r="286" ht="15.0" customHeight="1">
      <c r="A286" s="104" t="s">
        <v>397</v>
      </c>
      <c r="B286" s="40" t="s">
        <v>198</v>
      </c>
      <c r="C286" s="41">
        <v>16.0</v>
      </c>
      <c r="D286" s="70">
        <v>5.319990227522E12</v>
      </c>
      <c r="E286" s="105">
        <v>0.37</v>
      </c>
      <c r="F286" s="57">
        <f t="shared" si="92"/>
        <v>5.92</v>
      </c>
      <c r="G286" s="36">
        <v>1.0</v>
      </c>
      <c r="H286" s="43">
        <f t="shared" si="93"/>
        <v>0.4325</v>
      </c>
      <c r="I286" s="43">
        <f t="shared" si="94"/>
        <v>6.92</v>
      </c>
      <c r="J286" s="37"/>
      <c r="K286" s="45">
        <f t="shared" si="95"/>
        <v>0</v>
      </c>
    </row>
    <row r="287" ht="15.0" customHeight="1">
      <c r="A287" s="104" t="s">
        <v>398</v>
      </c>
      <c r="B287" s="40" t="s">
        <v>198</v>
      </c>
      <c r="C287" s="41">
        <v>16.0</v>
      </c>
      <c r="D287" s="70">
        <v>5.3199222273E12</v>
      </c>
      <c r="E287" s="105">
        <v>0.37</v>
      </c>
      <c r="F287" s="57">
        <f t="shared" si="92"/>
        <v>5.92</v>
      </c>
      <c r="G287" s="36">
        <v>1.0</v>
      </c>
      <c r="H287" s="43">
        <f t="shared" si="93"/>
        <v>0.4325</v>
      </c>
      <c r="I287" s="43">
        <f t="shared" si="94"/>
        <v>6.92</v>
      </c>
      <c r="J287" s="37"/>
      <c r="K287" s="45">
        <f t="shared" si="95"/>
        <v>0</v>
      </c>
    </row>
    <row r="288" ht="15.0" customHeight="1">
      <c r="A288" s="104" t="s">
        <v>399</v>
      </c>
      <c r="B288" s="40" t="s">
        <v>198</v>
      </c>
      <c r="C288" s="41">
        <v>16.0</v>
      </c>
      <c r="D288" s="70">
        <v>5.319990227317E12</v>
      </c>
      <c r="E288" s="105">
        <v>0.37</v>
      </c>
      <c r="F288" s="57">
        <f t="shared" si="92"/>
        <v>5.92</v>
      </c>
      <c r="G288" s="36">
        <v>1.0</v>
      </c>
      <c r="H288" s="43">
        <f t="shared" si="93"/>
        <v>0.4325</v>
      </c>
      <c r="I288" s="43">
        <f t="shared" si="94"/>
        <v>6.92</v>
      </c>
      <c r="J288" s="37"/>
      <c r="K288" s="45">
        <f t="shared" si="95"/>
        <v>0</v>
      </c>
    </row>
    <row r="289" ht="15.0" customHeight="1">
      <c r="A289" s="103" t="s">
        <v>400</v>
      </c>
      <c r="B289" s="106"/>
      <c r="C289" s="107"/>
      <c r="D289" s="108"/>
      <c r="E289" s="34"/>
      <c r="F289" s="35"/>
      <c r="G289" s="36"/>
      <c r="H289" s="43"/>
      <c r="I289" s="43"/>
      <c r="J289" s="37"/>
      <c r="K289" s="45"/>
    </row>
    <row r="290" ht="15.0" customHeight="1">
      <c r="A290" s="109" t="s">
        <v>401</v>
      </c>
      <c r="B290" s="58" t="s">
        <v>198</v>
      </c>
      <c r="C290" s="58">
        <v>24.0</v>
      </c>
      <c r="D290" s="51">
        <v>3.181550000218E12</v>
      </c>
      <c r="E290" s="56">
        <v>0.85</v>
      </c>
      <c r="F290" s="74">
        <f t="shared" ref="F290:F294" si="96">E290*C290</f>
        <v>20.4</v>
      </c>
      <c r="G290" s="36">
        <v>1.0</v>
      </c>
      <c r="H290" s="43">
        <f t="shared" ref="H290:H294" si="97">I290/C290</f>
        <v>0.8916666667</v>
      </c>
      <c r="I290" s="43">
        <f t="shared" ref="I290:I294" si="98">F290+G290</f>
        <v>21.4</v>
      </c>
      <c r="J290" s="37"/>
      <c r="K290" s="45">
        <f t="shared" ref="K290:K294" si="99">I290*J290</f>
        <v>0</v>
      </c>
    </row>
    <row r="291" ht="15.0" customHeight="1">
      <c r="A291" s="109" t="s">
        <v>402</v>
      </c>
      <c r="B291" s="58" t="s">
        <v>16</v>
      </c>
      <c r="C291" s="58">
        <v>24.0</v>
      </c>
      <c r="D291" s="51">
        <v>3.181550000126E12</v>
      </c>
      <c r="E291" s="56">
        <v>0.9</v>
      </c>
      <c r="F291" s="74">
        <f t="shared" si="96"/>
        <v>21.6</v>
      </c>
      <c r="G291" s="36">
        <v>1.0</v>
      </c>
      <c r="H291" s="43">
        <f t="shared" si="97"/>
        <v>0.9416666667</v>
      </c>
      <c r="I291" s="43">
        <f t="shared" si="98"/>
        <v>22.6</v>
      </c>
      <c r="J291" s="37"/>
      <c r="K291" s="45">
        <f t="shared" si="99"/>
        <v>0</v>
      </c>
    </row>
    <row r="292" ht="15.0" customHeight="1">
      <c r="A292" s="109" t="s">
        <v>403</v>
      </c>
      <c r="B292" s="58" t="s">
        <v>16</v>
      </c>
      <c r="C292" s="58">
        <v>24.0</v>
      </c>
      <c r="D292" s="51">
        <v>3.181550100802E12</v>
      </c>
      <c r="E292" s="56">
        <v>1.25</v>
      </c>
      <c r="F292" s="74">
        <f t="shared" si="96"/>
        <v>30</v>
      </c>
      <c r="G292" s="36">
        <v>1.0</v>
      </c>
      <c r="H292" s="43">
        <f t="shared" si="97"/>
        <v>1.291666667</v>
      </c>
      <c r="I292" s="43">
        <f t="shared" si="98"/>
        <v>31</v>
      </c>
      <c r="J292" s="37"/>
      <c r="K292" s="45">
        <f t="shared" si="99"/>
        <v>0</v>
      </c>
    </row>
    <row r="293" ht="15.0" customHeight="1">
      <c r="A293" s="109" t="s">
        <v>404</v>
      </c>
      <c r="B293" s="58" t="s">
        <v>198</v>
      </c>
      <c r="C293" s="58">
        <v>24.0</v>
      </c>
      <c r="D293" s="51">
        <v>3.181550000508E12</v>
      </c>
      <c r="E293" s="56">
        <v>0.8</v>
      </c>
      <c r="F293" s="74">
        <f t="shared" si="96"/>
        <v>19.2</v>
      </c>
      <c r="G293" s="36">
        <v>1.0</v>
      </c>
      <c r="H293" s="43">
        <f t="shared" si="97"/>
        <v>0.8416666667</v>
      </c>
      <c r="I293" s="43">
        <f t="shared" si="98"/>
        <v>20.2</v>
      </c>
      <c r="J293" s="37"/>
      <c r="K293" s="45">
        <f t="shared" si="99"/>
        <v>0</v>
      </c>
    </row>
    <row r="294" ht="15.0" customHeight="1">
      <c r="A294" s="109" t="s">
        <v>405</v>
      </c>
      <c r="B294" s="58" t="s">
        <v>18</v>
      </c>
      <c r="C294" s="58">
        <v>8.0</v>
      </c>
      <c r="D294" s="51">
        <v>3.181550000522E12</v>
      </c>
      <c r="E294" s="56">
        <v>2.65</v>
      </c>
      <c r="F294" s="74">
        <f t="shared" si="96"/>
        <v>21.2</v>
      </c>
      <c r="G294" s="36">
        <v>1.0</v>
      </c>
      <c r="H294" s="43">
        <f t="shared" si="97"/>
        <v>2.775</v>
      </c>
      <c r="I294" s="43">
        <f t="shared" si="98"/>
        <v>22.2</v>
      </c>
      <c r="J294" s="37"/>
      <c r="K294" s="45">
        <f t="shared" si="99"/>
        <v>0</v>
      </c>
    </row>
    <row r="295" ht="15.0" customHeight="1">
      <c r="A295" s="30" t="s">
        <v>406</v>
      </c>
      <c r="B295" s="31"/>
      <c r="C295" s="32"/>
      <c r="D295" s="33"/>
      <c r="E295" s="34"/>
      <c r="F295" s="35"/>
      <c r="G295" s="36"/>
      <c r="H295" s="43"/>
      <c r="I295" s="43"/>
      <c r="J295" s="37"/>
      <c r="K295" s="45"/>
      <c r="N295" s="46"/>
    </row>
    <row r="296" ht="15.0" customHeight="1">
      <c r="A296" s="39" t="s">
        <v>407</v>
      </c>
      <c r="B296" s="40" t="s">
        <v>408</v>
      </c>
      <c r="C296" s="41">
        <v>12.0</v>
      </c>
      <c r="D296" s="33">
        <v>5.71195319445E12</v>
      </c>
      <c r="E296" s="42">
        <v>2.1</v>
      </c>
      <c r="F296" s="35">
        <v>25.2</v>
      </c>
      <c r="G296" s="36">
        <v>1.0</v>
      </c>
      <c r="H296" s="43">
        <f t="shared" ref="H296:H300" si="100">I296/C296</f>
        <v>2.183333333</v>
      </c>
      <c r="I296" s="43">
        <f t="shared" ref="I296:I300" si="101">F296+G296</f>
        <v>26.2</v>
      </c>
      <c r="J296" s="37"/>
      <c r="K296" s="45">
        <f t="shared" ref="K296:K300" si="102">I296*J296</f>
        <v>0</v>
      </c>
    </row>
    <row r="297" ht="15.0" customHeight="1">
      <c r="A297" s="39" t="s">
        <v>409</v>
      </c>
      <c r="B297" s="40" t="s">
        <v>410</v>
      </c>
      <c r="C297" s="41">
        <v>10.0</v>
      </c>
      <c r="D297" s="33">
        <v>5.609060907158E12</v>
      </c>
      <c r="E297" s="42">
        <v>1.65</v>
      </c>
      <c r="F297" s="35">
        <v>16.5</v>
      </c>
      <c r="G297" s="36">
        <v>1.0</v>
      </c>
      <c r="H297" s="43">
        <f t="shared" si="100"/>
        <v>1.75</v>
      </c>
      <c r="I297" s="43">
        <f t="shared" si="101"/>
        <v>17.5</v>
      </c>
      <c r="J297" s="37"/>
      <c r="K297" s="45">
        <f t="shared" si="102"/>
        <v>0</v>
      </c>
    </row>
    <row r="298" ht="15.0" customHeight="1">
      <c r="A298" s="39" t="s">
        <v>411</v>
      </c>
      <c r="B298" s="40" t="s">
        <v>410</v>
      </c>
      <c r="C298" s="41">
        <v>10.0</v>
      </c>
      <c r="D298" s="33">
        <v>5.609060092328E12</v>
      </c>
      <c r="E298" s="42">
        <v>1.65</v>
      </c>
      <c r="F298" s="35">
        <v>16.5</v>
      </c>
      <c r="G298" s="36">
        <v>1.0</v>
      </c>
      <c r="H298" s="43">
        <f t="shared" si="100"/>
        <v>1.75</v>
      </c>
      <c r="I298" s="43">
        <f t="shared" si="101"/>
        <v>17.5</v>
      </c>
      <c r="J298" s="37"/>
      <c r="K298" s="45">
        <f t="shared" si="102"/>
        <v>0</v>
      </c>
    </row>
    <row r="299" ht="15.0" customHeight="1">
      <c r="A299" s="39" t="s">
        <v>412</v>
      </c>
      <c r="B299" s="40" t="s">
        <v>410</v>
      </c>
      <c r="C299" s="41">
        <v>10.0</v>
      </c>
      <c r="D299" s="33">
        <v>5.609060092311E12</v>
      </c>
      <c r="E299" s="42">
        <v>1.65</v>
      </c>
      <c r="F299" s="35">
        <v>16.5</v>
      </c>
      <c r="G299" s="36">
        <v>1.0</v>
      </c>
      <c r="H299" s="43">
        <f t="shared" si="100"/>
        <v>1.75</v>
      </c>
      <c r="I299" s="43">
        <f t="shared" si="101"/>
        <v>17.5</v>
      </c>
      <c r="J299" s="37"/>
      <c r="K299" s="45">
        <f t="shared" si="102"/>
        <v>0</v>
      </c>
    </row>
    <row r="300" ht="15.0" customHeight="1">
      <c r="A300" s="39" t="s">
        <v>413</v>
      </c>
      <c r="B300" s="40" t="s">
        <v>410</v>
      </c>
      <c r="C300" s="41">
        <v>10.0</v>
      </c>
      <c r="D300" s="33">
        <v>5.609060338907E12</v>
      </c>
      <c r="E300" s="42">
        <v>1.65</v>
      </c>
      <c r="F300" s="35">
        <v>16.5</v>
      </c>
      <c r="G300" s="36">
        <v>1.0</v>
      </c>
      <c r="H300" s="43">
        <f t="shared" si="100"/>
        <v>1.75</v>
      </c>
      <c r="I300" s="43">
        <f t="shared" si="101"/>
        <v>17.5</v>
      </c>
      <c r="J300" s="37"/>
      <c r="K300" s="45">
        <f t="shared" si="102"/>
        <v>0</v>
      </c>
    </row>
    <row r="301" ht="15.0" customHeight="1">
      <c r="A301" s="30" t="s">
        <v>414</v>
      </c>
      <c r="B301" s="31"/>
      <c r="C301" s="32"/>
      <c r="D301" s="33"/>
      <c r="E301" s="34"/>
      <c r="F301" s="35"/>
      <c r="G301" s="36"/>
      <c r="H301" s="43"/>
      <c r="I301" s="43"/>
      <c r="J301" s="37"/>
      <c r="K301" s="45"/>
    </row>
    <row r="302" ht="15.0" customHeight="1">
      <c r="A302" s="39" t="s">
        <v>415</v>
      </c>
      <c r="B302" s="40" t="s">
        <v>153</v>
      </c>
      <c r="C302" s="41">
        <v>24.0</v>
      </c>
      <c r="D302" s="33" t="s">
        <v>416</v>
      </c>
      <c r="E302" s="42">
        <v>0.72</v>
      </c>
      <c r="F302" s="35">
        <v>17.28</v>
      </c>
      <c r="G302" s="36">
        <v>1.0</v>
      </c>
      <c r="H302" s="43">
        <f t="shared" ref="H302:H363" si="103">I302/C302</f>
        <v>0.7616666667</v>
      </c>
      <c r="I302" s="43">
        <f t="shared" ref="I302:I363" si="104">F302+G302</f>
        <v>18.28</v>
      </c>
      <c r="J302" s="37"/>
      <c r="K302" s="45">
        <f t="shared" ref="K302:K363" si="105">I302*J302</f>
        <v>0</v>
      </c>
    </row>
    <row r="303" ht="15.0" customHeight="1">
      <c r="A303" s="39" t="s">
        <v>417</v>
      </c>
      <c r="B303" s="40" t="s">
        <v>153</v>
      </c>
      <c r="C303" s="41">
        <v>24.0</v>
      </c>
      <c r="D303" s="33">
        <v>5.449000214799E12</v>
      </c>
      <c r="E303" s="42">
        <v>0.65</v>
      </c>
      <c r="F303" s="35">
        <v>15.6</v>
      </c>
      <c r="G303" s="36">
        <v>1.0</v>
      </c>
      <c r="H303" s="43">
        <f t="shared" si="103"/>
        <v>0.6916666667</v>
      </c>
      <c r="I303" s="43">
        <f t="shared" si="104"/>
        <v>16.6</v>
      </c>
      <c r="J303" s="37"/>
      <c r="K303" s="45">
        <f t="shared" si="105"/>
        <v>0</v>
      </c>
    </row>
    <row r="304" ht="15.0" customHeight="1">
      <c r="A304" s="39" t="s">
        <v>418</v>
      </c>
      <c r="B304" s="40" t="s">
        <v>153</v>
      </c>
      <c r="C304" s="41">
        <v>24.0</v>
      </c>
      <c r="D304" s="33">
        <v>5.449000214843E12</v>
      </c>
      <c r="E304" s="42">
        <v>0.77</v>
      </c>
      <c r="F304" s="35">
        <v>18.48</v>
      </c>
      <c r="G304" s="36">
        <v>1.0</v>
      </c>
      <c r="H304" s="43">
        <f t="shared" si="103"/>
        <v>0.8116666667</v>
      </c>
      <c r="I304" s="43">
        <f t="shared" si="104"/>
        <v>19.48</v>
      </c>
      <c r="J304" s="37"/>
      <c r="K304" s="45">
        <f t="shared" si="105"/>
        <v>0</v>
      </c>
    </row>
    <row r="305" ht="15.0" customHeight="1">
      <c r="A305" s="48" t="s">
        <v>419</v>
      </c>
      <c r="B305" s="40" t="s">
        <v>153</v>
      </c>
      <c r="C305" s="41">
        <v>24.0</v>
      </c>
      <c r="D305" s="33" t="s">
        <v>420</v>
      </c>
      <c r="E305" s="42">
        <v>0.77</v>
      </c>
      <c r="F305" s="35">
        <v>18.48</v>
      </c>
      <c r="G305" s="36">
        <v>1.0</v>
      </c>
      <c r="H305" s="43">
        <f t="shared" si="103"/>
        <v>0.8116666667</v>
      </c>
      <c r="I305" s="43">
        <f t="shared" si="104"/>
        <v>19.48</v>
      </c>
      <c r="J305" s="47"/>
      <c r="K305" s="45">
        <f t="shared" si="105"/>
        <v>0</v>
      </c>
      <c r="L305" s="46"/>
    </row>
    <row r="306" ht="15.0" customHeight="1">
      <c r="A306" s="39" t="s">
        <v>421</v>
      </c>
      <c r="B306" s="40" t="s">
        <v>153</v>
      </c>
      <c r="C306" s="41">
        <v>24.0</v>
      </c>
      <c r="D306" s="33" t="s">
        <v>422</v>
      </c>
      <c r="E306" s="42">
        <v>0.77</v>
      </c>
      <c r="F306" s="35">
        <v>18.48</v>
      </c>
      <c r="G306" s="36">
        <v>1.0</v>
      </c>
      <c r="H306" s="43">
        <f t="shared" si="103"/>
        <v>0.8116666667</v>
      </c>
      <c r="I306" s="43">
        <f t="shared" si="104"/>
        <v>19.48</v>
      </c>
      <c r="J306" s="37"/>
      <c r="K306" s="45">
        <f t="shared" si="105"/>
        <v>0</v>
      </c>
    </row>
    <row r="307" ht="15.0" customHeight="1">
      <c r="A307" s="69" t="s">
        <v>423</v>
      </c>
      <c r="B307" s="41" t="s">
        <v>153</v>
      </c>
      <c r="C307" s="41">
        <v>24.0</v>
      </c>
      <c r="D307" s="70">
        <v>5.449000233295E12</v>
      </c>
      <c r="E307" s="71">
        <v>0.65</v>
      </c>
      <c r="F307" s="57">
        <f>C307*E307</f>
        <v>15.6</v>
      </c>
      <c r="G307" s="36">
        <v>1.0</v>
      </c>
      <c r="H307" s="43">
        <f t="shared" si="103"/>
        <v>0.6916666667</v>
      </c>
      <c r="I307" s="43">
        <f t="shared" si="104"/>
        <v>16.6</v>
      </c>
      <c r="J307" s="37"/>
      <c r="K307" s="45">
        <f t="shared" si="105"/>
        <v>0</v>
      </c>
    </row>
    <row r="308" ht="15.0" customHeight="1">
      <c r="A308" s="39" t="s">
        <v>424</v>
      </c>
      <c r="B308" s="40" t="s">
        <v>153</v>
      </c>
      <c r="C308" s="41">
        <v>24.0</v>
      </c>
      <c r="D308" s="33">
        <v>3.168930159711E12</v>
      </c>
      <c r="E308" s="42">
        <v>0.53</v>
      </c>
      <c r="F308" s="35">
        <v>12.72</v>
      </c>
      <c r="G308" s="36">
        <v>1.0</v>
      </c>
      <c r="H308" s="43">
        <f t="shared" si="103"/>
        <v>0.5716666667</v>
      </c>
      <c r="I308" s="43">
        <f t="shared" si="104"/>
        <v>13.72</v>
      </c>
      <c r="J308" s="37"/>
      <c r="K308" s="45">
        <f t="shared" si="105"/>
        <v>0</v>
      </c>
    </row>
    <row r="309" ht="15.0" customHeight="1">
      <c r="A309" s="48" t="s">
        <v>425</v>
      </c>
      <c r="B309" s="40" t="s">
        <v>153</v>
      </c>
      <c r="C309" s="41">
        <v>24.0</v>
      </c>
      <c r="D309" s="33">
        <v>3.168930178866E12</v>
      </c>
      <c r="E309" s="42">
        <v>0.55</v>
      </c>
      <c r="F309" s="35">
        <v>13.2</v>
      </c>
      <c r="G309" s="36">
        <v>1.0</v>
      </c>
      <c r="H309" s="43">
        <f t="shared" si="103"/>
        <v>0.5916666667</v>
      </c>
      <c r="I309" s="43">
        <f t="shared" si="104"/>
        <v>14.2</v>
      </c>
      <c r="J309" s="37"/>
      <c r="K309" s="45">
        <f t="shared" si="105"/>
        <v>0</v>
      </c>
    </row>
    <row r="310" ht="15.0" customHeight="1">
      <c r="A310" s="39" t="s">
        <v>426</v>
      </c>
      <c r="B310" s="40" t="s">
        <v>153</v>
      </c>
      <c r="C310" s="41">
        <v>24.0</v>
      </c>
      <c r="D310" s="33">
        <v>3.168930159742E12</v>
      </c>
      <c r="E310" s="42">
        <v>0.55</v>
      </c>
      <c r="F310" s="35">
        <v>13.2</v>
      </c>
      <c r="G310" s="36">
        <v>1.0</v>
      </c>
      <c r="H310" s="43">
        <f t="shared" si="103"/>
        <v>0.5916666667</v>
      </c>
      <c r="I310" s="43">
        <f t="shared" si="104"/>
        <v>14.2</v>
      </c>
      <c r="J310" s="37"/>
      <c r="K310" s="45">
        <f t="shared" si="105"/>
        <v>0</v>
      </c>
    </row>
    <row r="311" ht="15.0" customHeight="1">
      <c r="A311" s="39" t="s">
        <v>427</v>
      </c>
      <c r="B311" s="40" t="s">
        <v>153</v>
      </c>
      <c r="C311" s="41">
        <v>24.0</v>
      </c>
      <c r="D311" s="33">
        <v>5.449000281647E12</v>
      </c>
      <c r="E311" s="42">
        <v>0.68</v>
      </c>
      <c r="F311" s="35">
        <v>16.32</v>
      </c>
      <c r="G311" s="36">
        <v>1.0</v>
      </c>
      <c r="H311" s="43">
        <f t="shared" si="103"/>
        <v>0.7216666667</v>
      </c>
      <c r="I311" s="43">
        <f t="shared" si="104"/>
        <v>17.32</v>
      </c>
      <c r="J311" s="37"/>
      <c r="K311" s="45">
        <f t="shared" si="105"/>
        <v>0</v>
      </c>
    </row>
    <row r="312" ht="15.0" customHeight="1">
      <c r="A312" s="39" t="s">
        <v>428</v>
      </c>
      <c r="B312" s="40" t="s">
        <v>153</v>
      </c>
      <c r="C312" s="41">
        <v>24.0</v>
      </c>
      <c r="D312" s="33">
        <v>5.449000099631E12</v>
      </c>
      <c r="E312" s="42">
        <v>0.68</v>
      </c>
      <c r="F312" s="35">
        <v>16.32</v>
      </c>
      <c r="G312" s="36">
        <v>1.0</v>
      </c>
      <c r="H312" s="43">
        <f t="shared" si="103"/>
        <v>0.7216666667</v>
      </c>
      <c r="I312" s="43">
        <f t="shared" si="104"/>
        <v>17.32</v>
      </c>
      <c r="J312" s="37"/>
      <c r="K312" s="45">
        <f t="shared" si="105"/>
        <v>0</v>
      </c>
    </row>
    <row r="313" ht="15.0" customHeight="1">
      <c r="A313" s="39" t="s">
        <v>429</v>
      </c>
      <c r="B313" s="40" t="s">
        <v>153</v>
      </c>
      <c r="C313" s="41">
        <v>24.0</v>
      </c>
      <c r="D313" s="33">
        <v>5.449000281555E12</v>
      </c>
      <c r="E313" s="42">
        <v>0.68</v>
      </c>
      <c r="F313" s="35">
        <v>16.32</v>
      </c>
      <c r="G313" s="36">
        <v>1.0</v>
      </c>
      <c r="H313" s="43">
        <f t="shared" si="103"/>
        <v>0.7216666667</v>
      </c>
      <c r="I313" s="43">
        <f t="shared" si="104"/>
        <v>17.32</v>
      </c>
      <c r="J313" s="37"/>
      <c r="K313" s="45">
        <f t="shared" si="105"/>
        <v>0</v>
      </c>
    </row>
    <row r="314" ht="15.0" customHeight="1">
      <c r="A314" s="39" t="s">
        <v>430</v>
      </c>
      <c r="B314" s="40" t="s">
        <v>153</v>
      </c>
      <c r="C314" s="41">
        <v>24.0</v>
      </c>
      <c r="D314" s="33">
        <v>5.44900022459E12</v>
      </c>
      <c r="E314" s="42">
        <v>0.72</v>
      </c>
      <c r="F314" s="35">
        <v>17.28</v>
      </c>
      <c r="G314" s="36">
        <v>1.0</v>
      </c>
      <c r="H314" s="43">
        <f t="shared" si="103"/>
        <v>0.7616666667</v>
      </c>
      <c r="I314" s="43">
        <f t="shared" si="104"/>
        <v>18.28</v>
      </c>
      <c r="J314" s="37"/>
      <c r="K314" s="45">
        <f t="shared" si="105"/>
        <v>0</v>
      </c>
    </row>
    <row r="315" ht="15.0" customHeight="1">
      <c r="A315" s="39" t="s">
        <v>431</v>
      </c>
      <c r="B315" s="40" t="s">
        <v>153</v>
      </c>
      <c r="C315" s="41">
        <v>24.0</v>
      </c>
      <c r="D315" s="33">
        <v>5.017818800116E12</v>
      </c>
      <c r="E315" s="42">
        <v>0.72</v>
      </c>
      <c r="F315" s="35">
        <v>17.28</v>
      </c>
      <c r="G315" s="36">
        <v>2.0</v>
      </c>
      <c r="H315" s="43">
        <f t="shared" si="103"/>
        <v>0.8033333333</v>
      </c>
      <c r="I315" s="43">
        <f t="shared" si="104"/>
        <v>19.28</v>
      </c>
      <c r="J315" s="37"/>
      <c r="K315" s="45">
        <f t="shared" si="105"/>
        <v>0</v>
      </c>
    </row>
    <row r="316" ht="15.0" customHeight="1">
      <c r="A316" s="110" t="s">
        <v>432</v>
      </c>
      <c r="B316" s="58" t="s">
        <v>153</v>
      </c>
      <c r="C316" s="58">
        <v>24.0</v>
      </c>
      <c r="D316" s="51" t="s">
        <v>433</v>
      </c>
      <c r="E316" s="56">
        <v>0.85</v>
      </c>
      <c r="F316" s="74">
        <f>E316*C316</f>
        <v>20.4</v>
      </c>
      <c r="G316" s="36">
        <v>1.0</v>
      </c>
      <c r="H316" s="43">
        <f t="shared" si="103"/>
        <v>0.8916666667</v>
      </c>
      <c r="I316" s="43">
        <f t="shared" si="104"/>
        <v>21.4</v>
      </c>
      <c r="J316" s="37"/>
      <c r="K316" s="45">
        <f t="shared" si="105"/>
        <v>0</v>
      </c>
    </row>
    <row r="317" ht="15.0" customHeight="1">
      <c r="A317" s="39" t="s">
        <v>434</v>
      </c>
      <c r="B317" s="40" t="s">
        <v>153</v>
      </c>
      <c r="C317" s="41">
        <v>24.0</v>
      </c>
      <c r="D317" s="33">
        <v>5.449000286291E12</v>
      </c>
      <c r="E317" s="42">
        <v>0.56</v>
      </c>
      <c r="F317" s="35">
        <v>13.44</v>
      </c>
      <c r="G317" s="36">
        <v>1.0</v>
      </c>
      <c r="H317" s="43">
        <f t="shared" si="103"/>
        <v>0.6016666667</v>
      </c>
      <c r="I317" s="43">
        <f t="shared" si="104"/>
        <v>14.44</v>
      </c>
      <c r="J317" s="37"/>
      <c r="K317" s="45">
        <f t="shared" si="105"/>
        <v>0</v>
      </c>
    </row>
    <row r="318" ht="15.0" customHeight="1">
      <c r="A318" s="39" t="s">
        <v>435</v>
      </c>
      <c r="B318" s="40" t="s">
        <v>153</v>
      </c>
      <c r="C318" s="41">
        <v>24.0</v>
      </c>
      <c r="D318" s="33">
        <v>3.124480186676E12</v>
      </c>
      <c r="E318" s="42">
        <v>0.6</v>
      </c>
      <c r="F318" s="35">
        <v>14.4</v>
      </c>
      <c r="G318" s="36">
        <v>1.0</v>
      </c>
      <c r="H318" s="43">
        <f t="shared" si="103"/>
        <v>0.6416666667</v>
      </c>
      <c r="I318" s="43">
        <f t="shared" si="104"/>
        <v>15.4</v>
      </c>
      <c r="J318" s="37"/>
      <c r="K318" s="45">
        <f t="shared" si="105"/>
        <v>0</v>
      </c>
    </row>
    <row r="319" ht="15.0" customHeight="1">
      <c r="A319" s="39" t="s">
        <v>436</v>
      </c>
      <c r="B319" s="40" t="s">
        <v>153</v>
      </c>
      <c r="C319" s="41">
        <v>24.0</v>
      </c>
      <c r="D319" s="33">
        <v>3.124480186584E12</v>
      </c>
      <c r="E319" s="42">
        <v>0.6</v>
      </c>
      <c r="F319" s="35">
        <v>14.4</v>
      </c>
      <c r="G319" s="36">
        <v>1.0</v>
      </c>
      <c r="H319" s="43">
        <f t="shared" si="103"/>
        <v>0.6416666667</v>
      </c>
      <c r="I319" s="43">
        <f t="shared" si="104"/>
        <v>15.4</v>
      </c>
      <c r="J319" s="37"/>
      <c r="K319" s="45">
        <f t="shared" si="105"/>
        <v>0</v>
      </c>
    </row>
    <row r="320" ht="15.0" customHeight="1">
      <c r="A320" s="39" t="s">
        <v>437</v>
      </c>
      <c r="B320" s="40" t="s">
        <v>153</v>
      </c>
      <c r="C320" s="41">
        <v>24.0</v>
      </c>
      <c r="D320" s="33">
        <v>3.124480186621E12</v>
      </c>
      <c r="E320" s="42">
        <v>0.6</v>
      </c>
      <c r="F320" s="35">
        <v>14.4</v>
      </c>
      <c r="G320" s="36">
        <v>1.0</v>
      </c>
      <c r="H320" s="43">
        <f t="shared" si="103"/>
        <v>0.6416666667</v>
      </c>
      <c r="I320" s="43">
        <f t="shared" si="104"/>
        <v>15.4</v>
      </c>
      <c r="J320" s="37"/>
      <c r="K320" s="45">
        <f t="shared" si="105"/>
        <v>0</v>
      </c>
    </row>
    <row r="321" ht="15.0" customHeight="1">
      <c r="A321" s="39" t="s">
        <v>438</v>
      </c>
      <c r="B321" s="40" t="s">
        <v>153</v>
      </c>
      <c r="C321" s="41">
        <v>24.0</v>
      </c>
      <c r="D321" s="33">
        <v>3.124480186607E12</v>
      </c>
      <c r="E321" s="42">
        <v>0.65</v>
      </c>
      <c r="F321" s="35">
        <v>15.6</v>
      </c>
      <c r="G321" s="36">
        <v>1.0</v>
      </c>
      <c r="H321" s="43">
        <f t="shared" si="103"/>
        <v>0.6916666667</v>
      </c>
      <c r="I321" s="43">
        <f t="shared" si="104"/>
        <v>16.6</v>
      </c>
      <c r="J321" s="37"/>
      <c r="K321" s="45">
        <f t="shared" si="105"/>
        <v>0</v>
      </c>
    </row>
    <row r="322" ht="15.0" customHeight="1">
      <c r="A322" s="39" t="s">
        <v>439</v>
      </c>
      <c r="B322" s="40" t="s">
        <v>153</v>
      </c>
      <c r="C322" s="41">
        <v>24.0</v>
      </c>
      <c r="D322" s="33">
        <v>3.124480195401E12</v>
      </c>
      <c r="E322" s="42">
        <v>0.55</v>
      </c>
      <c r="F322" s="35">
        <v>13.2</v>
      </c>
      <c r="G322" s="36">
        <v>1.0</v>
      </c>
      <c r="H322" s="43">
        <f t="shared" si="103"/>
        <v>0.5916666667</v>
      </c>
      <c r="I322" s="43">
        <f t="shared" si="104"/>
        <v>14.2</v>
      </c>
      <c r="J322" s="37"/>
      <c r="K322" s="45">
        <f t="shared" si="105"/>
        <v>0</v>
      </c>
    </row>
    <row r="323" ht="15.0" customHeight="1">
      <c r="A323" s="39" t="s">
        <v>440</v>
      </c>
      <c r="B323" s="40" t="s">
        <v>153</v>
      </c>
      <c r="C323" s="41">
        <v>24.0</v>
      </c>
      <c r="D323" s="33">
        <v>3.124480198471E12</v>
      </c>
      <c r="E323" s="42">
        <v>0.55</v>
      </c>
      <c r="F323" s="35">
        <v>13.2</v>
      </c>
      <c r="G323" s="36">
        <v>1.0</v>
      </c>
      <c r="H323" s="43">
        <f t="shared" si="103"/>
        <v>0.5916666667</v>
      </c>
      <c r="I323" s="43">
        <f t="shared" si="104"/>
        <v>14.2</v>
      </c>
      <c r="J323" s="37"/>
      <c r="K323" s="45">
        <f t="shared" si="105"/>
        <v>0</v>
      </c>
    </row>
    <row r="324" ht="15.0" customHeight="1">
      <c r="A324" s="48" t="s">
        <v>441</v>
      </c>
      <c r="B324" s="40" t="s">
        <v>153</v>
      </c>
      <c r="C324" s="41">
        <v>24.0</v>
      </c>
      <c r="D324" s="33">
        <v>3.12448018685E12</v>
      </c>
      <c r="E324" s="56">
        <v>0.65</v>
      </c>
      <c r="F324" s="74">
        <f>E324*C324</f>
        <v>15.6</v>
      </c>
      <c r="G324" s="36">
        <v>1.0</v>
      </c>
      <c r="H324" s="43">
        <f t="shared" si="103"/>
        <v>0.6916666667</v>
      </c>
      <c r="I324" s="43">
        <f t="shared" si="104"/>
        <v>16.6</v>
      </c>
      <c r="J324" s="37"/>
      <c r="K324" s="45">
        <f t="shared" si="105"/>
        <v>0</v>
      </c>
    </row>
    <row r="325" ht="15.0" customHeight="1">
      <c r="A325" s="39" t="s">
        <v>442</v>
      </c>
      <c r="B325" s="40" t="s">
        <v>153</v>
      </c>
      <c r="C325" s="41">
        <v>24.0</v>
      </c>
      <c r="D325" s="33">
        <v>5.449000232311E12</v>
      </c>
      <c r="E325" s="42">
        <v>0.58</v>
      </c>
      <c r="F325" s="35">
        <v>13.92</v>
      </c>
      <c r="G325" s="36">
        <v>1.0</v>
      </c>
      <c r="H325" s="43">
        <f t="shared" si="103"/>
        <v>0.6216666667</v>
      </c>
      <c r="I325" s="43">
        <f t="shared" si="104"/>
        <v>14.92</v>
      </c>
      <c r="J325" s="37"/>
      <c r="K325" s="45">
        <f t="shared" si="105"/>
        <v>0</v>
      </c>
    </row>
    <row r="326" ht="15.0" customHeight="1">
      <c r="A326" s="48" t="s">
        <v>443</v>
      </c>
      <c r="B326" s="40" t="s">
        <v>153</v>
      </c>
      <c r="C326" s="41">
        <v>24.0</v>
      </c>
      <c r="D326" s="76">
        <v>5.449000284433E12</v>
      </c>
      <c r="E326" s="42">
        <v>0.58</v>
      </c>
      <c r="F326" s="35">
        <v>13.92</v>
      </c>
      <c r="G326" s="36">
        <v>1.0</v>
      </c>
      <c r="H326" s="43">
        <f t="shared" si="103"/>
        <v>0.6216666667</v>
      </c>
      <c r="I326" s="43">
        <f t="shared" si="104"/>
        <v>14.92</v>
      </c>
      <c r="J326" s="37"/>
      <c r="K326" s="45">
        <f t="shared" si="105"/>
        <v>0</v>
      </c>
    </row>
    <row r="327" ht="15.0" customHeight="1">
      <c r="A327" s="39" t="s">
        <v>444</v>
      </c>
      <c r="B327" s="40" t="s">
        <v>153</v>
      </c>
      <c r="C327" s="41">
        <v>24.0</v>
      </c>
      <c r="D327" s="33">
        <v>3.12448018432E12</v>
      </c>
      <c r="E327" s="42">
        <v>0.65</v>
      </c>
      <c r="F327" s="35">
        <v>15.6</v>
      </c>
      <c r="G327" s="36">
        <v>1.0</v>
      </c>
      <c r="H327" s="43">
        <f t="shared" si="103"/>
        <v>0.6916666667</v>
      </c>
      <c r="I327" s="43">
        <f t="shared" si="104"/>
        <v>16.6</v>
      </c>
      <c r="J327" s="37"/>
      <c r="K327" s="45">
        <f t="shared" si="105"/>
        <v>0</v>
      </c>
    </row>
    <row r="328" ht="15.0" customHeight="1">
      <c r="A328" s="39" t="s">
        <v>445</v>
      </c>
      <c r="B328" s="40" t="s">
        <v>153</v>
      </c>
      <c r="C328" s="41">
        <v>24.0</v>
      </c>
      <c r="D328" s="33">
        <v>5.449000293961E12</v>
      </c>
      <c r="E328" s="42">
        <v>0.72</v>
      </c>
      <c r="F328" s="35">
        <v>17.28</v>
      </c>
      <c r="G328" s="36">
        <v>1.0</v>
      </c>
      <c r="H328" s="43">
        <f t="shared" si="103"/>
        <v>0.7616666667</v>
      </c>
      <c r="I328" s="43">
        <f t="shared" si="104"/>
        <v>18.28</v>
      </c>
      <c r="J328" s="37"/>
      <c r="K328" s="45">
        <f t="shared" si="105"/>
        <v>0</v>
      </c>
    </row>
    <row r="329" ht="15.0" customHeight="1">
      <c r="A329" s="39" t="s">
        <v>446</v>
      </c>
      <c r="B329" s="40" t="s">
        <v>153</v>
      </c>
      <c r="C329" s="41">
        <v>24.0</v>
      </c>
      <c r="D329" s="33">
        <v>5.449000214829E12</v>
      </c>
      <c r="E329" s="42">
        <v>0.67</v>
      </c>
      <c r="F329" s="35">
        <v>16.08</v>
      </c>
      <c r="G329" s="36">
        <v>1.0</v>
      </c>
      <c r="H329" s="43">
        <f t="shared" si="103"/>
        <v>0.7116666667</v>
      </c>
      <c r="I329" s="43">
        <f t="shared" si="104"/>
        <v>17.08</v>
      </c>
      <c r="J329" s="37"/>
      <c r="K329" s="45">
        <f t="shared" si="105"/>
        <v>0</v>
      </c>
    </row>
    <row r="330" ht="15.0" customHeight="1">
      <c r="A330" s="39" t="s">
        <v>447</v>
      </c>
      <c r="B330" s="40" t="s">
        <v>153</v>
      </c>
      <c r="C330" s="41">
        <v>24.0</v>
      </c>
      <c r="D330" s="33" t="s">
        <v>448</v>
      </c>
      <c r="E330" s="42">
        <v>0.67</v>
      </c>
      <c r="F330" s="35">
        <v>16.08</v>
      </c>
      <c r="G330" s="36">
        <v>1.0</v>
      </c>
      <c r="H330" s="43">
        <f t="shared" si="103"/>
        <v>0.7116666667</v>
      </c>
      <c r="I330" s="43">
        <f t="shared" si="104"/>
        <v>17.08</v>
      </c>
      <c r="J330" s="37"/>
      <c r="K330" s="45">
        <f t="shared" si="105"/>
        <v>0</v>
      </c>
    </row>
    <row r="331" ht="15.0" customHeight="1">
      <c r="A331" s="39" t="s">
        <v>449</v>
      </c>
      <c r="B331" s="40" t="s">
        <v>153</v>
      </c>
      <c r="C331" s="41">
        <v>24.0</v>
      </c>
      <c r="D331" s="33">
        <v>5.449000247872E12</v>
      </c>
      <c r="E331" s="42">
        <v>0.67</v>
      </c>
      <c r="F331" s="35">
        <v>16.08</v>
      </c>
      <c r="G331" s="36">
        <v>1.0</v>
      </c>
      <c r="H331" s="43">
        <f t="shared" si="103"/>
        <v>0.7116666667</v>
      </c>
      <c r="I331" s="43">
        <f t="shared" si="104"/>
        <v>17.08</v>
      </c>
      <c r="J331" s="37"/>
      <c r="K331" s="45">
        <f t="shared" si="105"/>
        <v>0</v>
      </c>
    </row>
    <row r="332" ht="15.0" customHeight="1">
      <c r="A332" s="39" t="s">
        <v>450</v>
      </c>
      <c r="B332" s="40" t="s">
        <v>153</v>
      </c>
      <c r="C332" s="41">
        <v>24.0</v>
      </c>
      <c r="D332" s="33">
        <v>5.449000223319E12</v>
      </c>
      <c r="E332" s="42">
        <v>0.72</v>
      </c>
      <c r="F332" s="35">
        <v>17.28</v>
      </c>
      <c r="G332" s="36">
        <v>1.0</v>
      </c>
      <c r="H332" s="43">
        <f t="shared" si="103"/>
        <v>0.7616666667</v>
      </c>
      <c r="I332" s="43">
        <f t="shared" si="104"/>
        <v>18.28</v>
      </c>
      <c r="J332" s="37"/>
      <c r="K332" s="45">
        <f t="shared" si="105"/>
        <v>0</v>
      </c>
    </row>
    <row r="333" ht="15.0" customHeight="1">
      <c r="A333" s="39" t="s">
        <v>451</v>
      </c>
      <c r="B333" s="40" t="s">
        <v>153</v>
      </c>
      <c r="C333" s="41">
        <v>24.0</v>
      </c>
      <c r="D333" s="33">
        <v>5.449000334534E12</v>
      </c>
      <c r="E333" s="42">
        <v>0.62</v>
      </c>
      <c r="F333" s="35">
        <v>14.88</v>
      </c>
      <c r="G333" s="36">
        <v>1.0</v>
      </c>
      <c r="H333" s="43">
        <f t="shared" si="103"/>
        <v>0.6616666667</v>
      </c>
      <c r="I333" s="43">
        <f t="shared" si="104"/>
        <v>15.88</v>
      </c>
      <c r="J333" s="37"/>
      <c r="K333" s="45">
        <f t="shared" si="105"/>
        <v>0</v>
      </c>
    </row>
    <row r="334" ht="15.0" customHeight="1">
      <c r="A334" s="39" t="s">
        <v>452</v>
      </c>
      <c r="B334" s="40" t="s">
        <v>153</v>
      </c>
      <c r="C334" s="41">
        <v>24.0</v>
      </c>
      <c r="D334" s="33">
        <v>3.12448018685E12</v>
      </c>
      <c r="E334" s="42">
        <v>0.59</v>
      </c>
      <c r="F334" s="35">
        <v>14.16</v>
      </c>
      <c r="G334" s="36">
        <v>1.0</v>
      </c>
      <c r="H334" s="43">
        <f t="shared" si="103"/>
        <v>0.6316666667</v>
      </c>
      <c r="I334" s="43">
        <f t="shared" si="104"/>
        <v>15.16</v>
      </c>
      <c r="J334" s="37"/>
      <c r="K334" s="45">
        <f t="shared" si="105"/>
        <v>0</v>
      </c>
    </row>
    <row r="335" ht="15.0" customHeight="1">
      <c r="A335" s="39" t="s">
        <v>453</v>
      </c>
      <c r="B335" s="40" t="s">
        <v>153</v>
      </c>
      <c r="C335" s="41">
        <v>24.0</v>
      </c>
      <c r="D335" s="33">
        <v>3.124480186898E12</v>
      </c>
      <c r="E335" s="42">
        <v>0.59</v>
      </c>
      <c r="F335" s="35">
        <v>14.16</v>
      </c>
      <c r="G335" s="36">
        <v>1.0</v>
      </c>
      <c r="H335" s="43">
        <f t="shared" si="103"/>
        <v>0.6316666667</v>
      </c>
      <c r="I335" s="43">
        <f t="shared" si="104"/>
        <v>15.16</v>
      </c>
      <c r="J335" s="37"/>
      <c r="K335" s="45">
        <f t="shared" si="105"/>
        <v>0</v>
      </c>
    </row>
    <row r="336" ht="15.0" customHeight="1">
      <c r="A336" s="39" t="s">
        <v>454</v>
      </c>
      <c r="B336" s="40" t="s">
        <v>153</v>
      </c>
      <c r="C336" s="41">
        <v>24.0</v>
      </c>
      <c r="D336" s="33">
        <v>3.124480186881E12</v>
      </c>
      <c r="E336" s="42">
        <v>0.63</v>
      </c>
      <c r="F336" s="35">
        <v>15.12</v>
      </c>
      <c r="G336" s="36">
        <v>1.0</v>
      </c>
      <c r="H336" s="43">
        <f t="shared" si="103"/>
        <v>0.6716666667</v>
      </c>
      <c r="I336" s="43">
        <f t="shared" si="104"/>
        <v>16.12</v>
      </c>
      <c r="J336" s="37"/>
      <c r="K336" s="45">
        <f t="shared" si="105"/>
        <v>0</v>
      </c>
    </row>
    <row r="337" ht="15.0" customHeight="1">
      <c r="A337" s="48" t="s">
        <v>455</v>
      </c>
      <c r="B337" s="40" t="s">
        <v>153</v>
      </c>
      <c r="C337" s="41">
        <v>24.0</v>
      </c>
      <c r="D337" s="33">
        <v>5.410221205958E12</v>
      </c>
      <c r="E337" s="56">
        <v>0.63</v>
      </c>
      <c r="F337" s="74">
        <f>E337*C337</f>
        <v>15.12</v>
      </c>
      <c r="G337" s="36">
        <v>1.0</v>
      </c>
      <c r="H337" s="43">
        <f t="shared" si="103"/>
        <v>0.6716666667</v>
      </c>
      <c r="I337" s="43">
        <f t="shared" si="104"/>
        <v>16.12</v>
      </c>
      <c r="J337" s="37"/>
      <c r="K337" s="45">
        <f t="shared" si="105"/>
        <v>0</v>
      </c>
    </row>
    <row r="338" ht="15.0" customHeight="1">
      <c r="A338" s="39" t="s">
        <v>456</v>
      </c>
      <c r="B338" s="40" t="s">
        <v>153</v>
      </c>
      <c r="C338" s="41">
        <v>24.0</v>
      </c>
      <c r="D338" s="33" t="s">
        <v>457</v>
      </c>
      <c r="E338" s="42">
        <v>0.54</v>
      </c>
      <c r="F338" s="35">
        <v>12.96</v>
      </c>
      <c r="G338" s="36">
        <v>1.0</v>
      </c>
      <c r="H338" s="43">
        <f t="shared" si="103"/>
        <v>0.5816666667</v>
      </c>
      <c r="I338" s="43">
        <f t="shared" si="104"/>
        <v>13.96</v>
      </c>
      <c r="J338" s="37"/>
      <c r="K338" s="45">
        <f t="shared" si="105"/>
        <v>0</v>
      </c>
    </row>
    <row r="339" ht="15.0" customHeight="1">
      <c r="A339" s="39" t="s">
        <v>458</v>
      </c>
      <c r="B339" s="40" t="s">
        <v>153</v>
      </c>
      <c r="C339" s="41">
        <v>24.0</v>
      </c>
      <c r="D339" s="33">
        <v>3.168930176244E12</v>
      </c>
      <c r="E339" s="42">
        <v>0.65</v>
      </c>
      <c r="F339" s="35">
        <v>15.6</v>
      </c>
      <c r="G339" s="36">
        <v>1.0</v>
      </c>
      <c r="H339" s="43">
        <f t="shared" si="103"/>
        <v>0.6916666667</v>
      </c>
      <c r="I339" s="43">
        <f t="shared" si="104"/>
        <v>16.6</v>
      </c>
      <c r="J339" s="37"/>
      <c r="K339" s="45">
        <f t="shared" si="105"/>
        <v>0</v>
      </c>
    </row>
    <row r="340" ht="15.0" customHeight="1">
      <c r="A340" s="39" t="s">
        <v>459</v>
      </c>
      <c r="B340" s="40" t="s">
        <v>153</v>
      </c>
      <c r="C340" s="41">
        <v>24.0</v>
      </c>
      <c r="D340" s="33">
        <v>3.168930176282E12</v>
      </c>
      <c r="E340" s="42">
        <v>0.6</v>
      </c>
      <c r="F340" s="35">
        <v>14.4</v>
      </c>
      <c r="G340" s="36">
        <v>1.0</v>
      </c>
      <c r="H340" s="43">
        <f t="shared" si="103"/>
        <v>0.6416666667</v>
      </c>
      <c r="I340" s="43">
        <f t="shared" si="104"/>
        <v>15.4</v>
      </c>
      <c r="J340" s="37"/>
      <c r="K340" s="45">
        <f t="shared" si="105"/>
        <v>0</v>
      </c>
    </row>
    <row r="341" ht="15.0" customHeight="1">
      <c r="A341" s="39" t="s">
        <v>460</v>
      </c>
      <c r="B341" s="40" t="s">
        <v>153</v>
      </c>
      <c r="C341" s="41">
        <v>24.0</v>
      </c>
      <c r="D341" s="33">
        <v>3.168930159865E12</v>
      </c>
      <c r="E341" s="42">
        <v>0.65</v>
      </c>
      <c r="F341" s="35">
        <v>15.6</v>
      </c>
      <c r="G341" s="36">
        <v>1.0</v>
      </c>
      <c r="H341" s="43">
        <f t="shared" si="103"/>
        <v>0.6916666667</v>
      </c>
      <c r="I341" s="43">
        <f t="shared" si="104"/>
        <v>16.6</v>
      </c>
      <c r="J341" s="37"/>
      <c r="K341" s="45">
        <f t="shared" si="105"/>
        <v>0</v>
      </c>
    </row>
    <row r="342" ht="15.0" customHeight="1">
      <c r="A342" s="39" t="s">
        <v>461</v>
      </c>
      <c r="B342" s="40" t="s">
        <v>153</v>
      </c>
      <c r="C342" s="41">
        <v>24.0</v>
      </c>
      <c r="D342" s="33">
        <v>8.718226321572E12</v>
      </c>
      <c r="E342" s="42">
        <v>0.8</v>
      </c>
      <c r="F342" s="35">
        <v>19.2</v>
      </c>
      <c r="G342" s="36">
        <v>1.0</v>
      </c>
      <c r="H342" s="43">
        <f t="shared" si="103"/>
        <v>0.8416666667</v>
      </c>
      <c r="I342" s="43">
        <f t="shared" si="104"/>
        <v>20.2</v>
      </c>
      <c r="J342" s="37"/>
      <c r="K342" s="45">
        <f t="shared" si="105"/>
        <v>0</v>
      </c>
    </row>
    <row r="343" ht="15.0" customHeight="1">
      <c r="A343" s="39" t="s">
        <v>462</v>
      </c>
      <c r="B343" s="40" t="s">
        <v>153</v>
      </c>
      <c r="C343" s="41">
        <v>24.0</v>
      </c>
      <c r="D343" s="33">
        <v>8.718226321527E12</v>
      </c>
      <c r="E343" s="42">
        <v>0.8</v>
      </c>
      <c r="F343" s="35">
        <v>19.2</v>
      </c>
      <c r="G343" s="36">
        <v>1.0</v>
      </c>
      <c r="H343" s="43">
        <f t="shared" si="103"/>
        <v>0.8416666667</v>
      </c>
      <c r="I343" s="43">
        <f t="shared" si="104"/>
        <v>20.2</v>
      </c>
      <c r="J343" s="37"/>
      <c r="K343" s="45">
        <f t="shared" si="105"/>
        <v>0</v>
      </c>
    </row>
    <row r="344" ht="15.0" customHeight="1">
      <c r="A344" s="39" t="s">
        <v>463</v>
      </c>
      <c r="B344" s="40" t="s">
        <v>153</v>
      </c>
      <c r="C344" s="41">
        <v>24.0</v>
      </c>
      <c r="D344" s="33">
        <v>8.718226321534E12</v>
      </c>
      <c r="E344" s="42">
        <v>0.8</v>
      </c>
      <c r="F344" s="35">
        <v>19.2</v>
      </c>
      <c r="G344" s="36">
        <v>1.0</v>
      </c>
      <c r="H344" s="43">
        <f t="shared" si="103"/>
        <v>0.8416666667</v>
      </c>
      <c r="I344" s="43">
        <f t="shared" si="104"/>
        <v>20.2</v>
      </c>
      <c r="J344" s="37"/>
      <c r="K344" s="45">
        <f t="shared" si="105"/>
        <v>0</v>
      </c>
    </row>
    <row r="345" ht="15.0" customHeight="1">
      <c r="A345" s="39" t="s">
        <v>464</v>
      </c>
      <c r="B345" s="40" t="s">
        <v>153</v>
      </c>
      <c r="C345" s="41">
        <v>24.0</v>
      </c>
      <c r="D345" s="33">
        <v>8.71822632151E12</v>
      </c>
      <c r="E345" s="42">
        <v>0.8</v>
      </c>
      <c r="F345" s="35">
        <v>19.2</v>
      </c>
      <c r="G345" s="36">
        <v>1.0</v>
      </c>
      <c r="H345" s="43">
        <f t="shared" si="103"/>
        <v>0.8416666667</v>
      </c>
      <c r="I345" s="43">
        <f t="shared" si="104"/>
        <v>20.2</v>
      </c>
      <c r="J345" s="37"/>
      <c r="K345" s="45">
        <f t="shared" si="105"/>
        <v>0</v>
      </c>
    </row>
    <row r="346" ht="15.0" customHeight="1">
      <c r="A346" s="39" t="s">
        <v>465</v>
      </c>
      <c r="B346" s="40" t="s">
        <v>153</v>
      </c>
      <c r="C346" s="41">
        <v>24.0</v>
      </c>
      <c r="D346" s="33">
        <v>3.502110004192E12</v>
      </c>
      <c r="E346" s="42">
        <v>0.65</v>
      </c>
      <c r="F346" s="35">
        <v>15.6</v>
      </c>
      <c r="G346" s="36">
        <v>1.0</v>
      </c>
      <c r="H346" s="43">
        <f t="shared" si="103"/>
        <v>0.6916666667</v>
      </c>
      <c r="I346" s="43">
        <f t="shared" si="104"/>
        <v>16.6</v>
      </c>
      <c r="J346" s="37"/>
      <c r="K346" s="45">
        <f t="shared" si="105"/>
        <v>0</v>
      </c>
    </row>
    <row r="347" ht="15.0" customHeight="1">
      <c r="A347" s="39" t="s">
        <v>466</v>
      </c>
      <c r="B347" s="40" t="s">
        <v>153</v>
      </c>
      <c r="C347" s="41">
        <v>24.0</v>
      </c>
      <c r="D347" s="33">
        <v>3.502110002686E12</v>
      </c>
      <c r="E347" s="42">
        <v>0.65</v>
      </c>
      <c r="F347" s="35">
        <v>15.6</v>
      </c>
      <c r="G347" s="36">
        <v>1.0</v>
      </c>
      <c r="H347" s="43">
        <f t="shared" si="103"/>
        <v>0.6916666667</v>
      </c>
      <c r="I347" s="43">
        <f t="shared" si="104"/>
        <v>16.6</v>
      </c>
      <c r="J347" s="37"/>
      <c r="K347" s="45">
        <f t="shared" si="105"/>
        <v>0</v>
      </c>
    </row>
    <row r="348" ht="15.0" customHeight="1">
      <c r="A348" s="39" t="s">
        <v>467</v>
      </c>
      <c r="B348" s="40" t="s">
        <v>153</v>
      </c>
      <c r="C348" s="41">
        <v>24.0</v>
      </c>
      <c r="D348" s="33">
        <v>5.449000295989E12</v>
      </c>
      <c r="E348" s="42">
        <v>0.76</v>
      </c>
      <c r="F348" s="35">
        <v>18.24</v>
      </c>
      <c r="G348" s="36">
        <v>1.0</v>
      </c>
      <c r="H348" s="43">
        <f t="shared" si="103"/>
        <v>0.8016666667</v>
      </c>
      <c r="I348" s="43">
        <f t="shared" si="104"/>
        <v>19.24</v>
      </c>
      <c r="J348" s="37"/>
      <c r="K348" s="45">
        <f t="shared" si="105"/>
        <v>0</v>
      </c>
    </row>
    <row r="349" ht="15.0" customHeight="1">
      <c r="A349" s="39" t="s">
        <v>468</v>
      </c>
      <c r="B349" s="40" t="s">
        <v>153</v>
      </c>
      <c r="C349" s="41">
        <v>24.0</v>
      </c>
      <c r="D349" s="33">
        <v>5.449000257789E12</v>
      </c>
      <c r="E349" s="42">
        <v>0.8</v>
      </c>
      <c r="F349" s="35">
        <v>19.2</v>
      </c>
      <c r="G349" s="36">
        <v>1.0</v>
      </c>
      <c r="H349" s="43">
        <f t="shared" si="103"/>
        <v>0.8416666667</v>
      </c>
      <c r="I349" s="43">
        <f t="shared" si="104"/>
        <v>20.2</v>
      </c>
      <c r="J349" s="37"/>
      <c r="K349" s="45">
        <f t="shared" si="105"/>
        <v>0</v>
      </c>
    </row>
    <row r="350" ht="15.0" customHeight="1">
      <c r="A350" s="39" t="s">
        <v>469</v>
      </c>
      <c r="B350" s="40" t="s">
        <v>153</v>
      </c>
      <c r="C350" s="41">
        <v>24.0</v>
      </c>
      <c r="D350" s="33">
        <v>5.449000257796E12</v>
      </c>
      <c r="E350" s="42">
        <v>0.76</v>
      </c>
      <c r="F350" s="35">
        <v>18.24</v>
      </c>
      <c r="G350" s="36">
        <v>1.0</v>
      </c>
      <c r="H350" s="43">
        <f t="shared" si="103"/>
        <v>0.8016666667</v>
      </c>
      <c r="I350" s="43">
        <f t="shared" si="104"/>
        <v>19.24</v>
      </c>
      <c r="J350" s="37"/>
      <c r="K350" s="45">
        <f t="shared" si="105"/>
        <v>0</v>
      </c>
    </row>
    <row r="351" ht="15.0" customHeight="1">
      <c r="A351" s="39" t="s">
        <v>470</v>
      </c>
      <c r="B351" s="40" t="s">
        <v>153</v>
      </c>
      <c r="C351" s="41">
        <v>24.0</v>
      </c>
      <c r="D351" s="33">
        <v>3.168930159988E12</v>
      </c>
      <c r="E351" s="42">
        <v>0.6</v>
      </c>
      <c r="F351" s="35">
        <v>14.4</v>
      </c>
      <c r="G351" s="36">
        <v>1.0</v>
      </c>
      <c r="H351" s="43">
        <f t="shared" si="103"/>
        <v>0.6416666667</v>
      </c>
      <c r="I351" s="43">
        <f t="shared" si="104"/>
        <v>15.4</v>
      </c>
      <c r="J351" s="37"/>
      <c r="K351" s="45">
        <f t="shared" si="105"/>
        <v>0</v>
      </c>
    </row>
    <row r="352" ht="15.0" customHeight="1">
      <c r="A352" s="39" t="s">
        <v>471</v>
      </c>
      <c r="B352" s="40" t="s">
        <v>153</v>
      </c>
      <c r="C352" s="41">
        <v>24.0</v>
      </c>
      <c r="D352" s="33">
        <v>3.168930162711E12</v>
      </c>
      <c r="E352" s="42">
        <v>0.6</v>
      </c>
      <c r="F352" s="35">
        <v>14.4</v>
      </c>
      <c r="G352" s="36">
        <v>1.0</v>
      </c>
      <c r="H352" s="43">
        <f t="shared" si="103"/>
        <v>0.6416666667</v>
      </c>
      <c r="I352" s="43">
        <f t="shared" si="104"/>
        <v>15.4</v>
      </c>
      <c r="J352" s="37"/>
      <c r="K352" s="45">
        <f t="shared" si="105"/>
        <v>0</v>
      </c>
    </row>
    <row r="353" ht="15.0" customHeight="1">
      <c r="A353" s="39" t="s">
        <v>472</v>
      </c>
      <c r="B353" s="40" t="s">
        <v>153</v>
      </c>
      <c r="C353" s="41">
        <v>24.0</v>
      </c>
      <c r="D353" s="33" t="s">
        <v>473</v>
      </c>
      <c r="E353" s="42">
        <v>0.6</v>
      </c>
      <c r="F353" s="35">
        <v>14.4</v>
      </c>
      <c r="G353" s="36">
        <v>1.0</v>
      </c>
      <c r="H353" s="43">
        <f t="shared" si="103"/>
        <v>0.6416666667</v>
      </c>
      <c r="I353" s="43">
        <f t="shared" si="104"/>
        <v>15.4</v>
      </c>
      <c r="J353" s="37"/>
      <c r="K353" s="45">
        <f t="shared" si="105"/>
        <v>0</v>
      </c>
    </row>
    <row r="354" ht="15.0" customHeight="1">
      <c r="A354" s="111" t="s">
        <v>474</v>
      </c>
      <c r="B354" s="40" t="s">
        <v>153</v>
      </c>
      <c r="C354" s="41">
        <v>24.0</v>
      </c>
      <c r="D354" s="33">
        <v>3.502110009234E12</v>
      </c>
      <c r="E354" s="42">
        <v>0.6</v>
      </c>
      <c r="F354" s="35">
        <v>14.4</v>
      </c>
      <c r="G354" s="36">
        <v>1.0</v>
      </c>
      <c r="H354" s="43">
        <f t="shared" si="103"/>
        <v>0.6416666667</v>
      </c>
      <c r="I354" s="43">
        <f t="shared" si="104"/>
        <v>15.4</v>
      </c>
      <c r="J354" s="37"/>
      <c r="K354" s="45">
        <f t="shared" si="105"/>
        <v>0</v>
      </c>
    </row>
    <row r="355" ht="15.0" customHeight="1">
      <c r="A355" s="39" t="s">
        <v>475</v>
      </c>
      <c r="B355" s="40" t="s">
        <v>153</v>
      </c>
      <c r="C355" s="41">
        <v>24.0</v>
      </c>
      <c r="D355" s="33">
        <v>3.168930178064E12</v>
      </c>
      <c r="E355" s="42">
        <v>0.6</v>
      </c>
      <c r="F355" s="35">
        <v>14.4</v>
      </c>
      <c r="G355" s="36">
        <v>1.0</v>
      </c>
      <c r="H355" s="43">
        <f t="shared" si="103"/>
        <v>0.6416666667</v>
      </c>
      <c r="I355" s="43">
        <f t="shared" si="104"/>
        <v>15.4</v>
      </c>
      <c r="J355" s="37"/>
      <c r="K355" s="45">
        <f t="shared" si="105"/>
        <v>0</v>
      </c>
    </row>
    <row r="356" ht="15.0" customHeight="1">
      <c r="A356" s="39" t="s">
        <v>476</v>
      </c>
      <c r="B356" s="40" t="s">
        <v>153</v>
      </c>
      <c r="C356" s="41">
        <v>24.0</v>
      </c>
      <c r="D356" s="33" t="s">
        <v>477</v>
      </c>
      <c r="E356" s="42">
        <v>0.65</v>
      </c>
      <c r="F356" s="35">
        <v>15.6</v>
      </c>
      <c r="G356" s="36">
        <v>1.0</v>
      </c>
      <c r="H356" s="43">
        <f t="shared" si="103"/>
        <v>0.6916666667</v>
      </c>
      <c r="I356" s="43">
        <f t="shared" si="104"/>
        <v>16.6</v>
      </c>
      <c r="J356" s="37"/>
      <c r="K356" s="45">
        <f t="shared" si="105"/>
        <v>0</v>
      </c>
    </row>
    <row r="357" ht="15.0" customHeight="1">
      <c r="A357" s="53" t="s">
        <v>478</v>
      </c>
      <c r="B357" s="112" t="s">
        <v>16</v>
      </c>
      <c r="C357" s="112">
        <v>24.0</v>
      </c>
      <c r="D357" s="113" t="s">
        <v>479</v>
      </c>
      <c r="E357" s="114">
        <v>0.9</v>
      </c>
      <c r="F357" s="74">
        <f t="shared" ref="F357:F358" si="106">E357*C357</f>
        <v>21.6</v>
      </c>
      <c r="G357" s="36">
        <v>1.0</v>
      </c>
      <c r="H357" s="43">
        <f t="shared" si="103"/>
        <v>0.9416666667</v>
      </c>
      <c r="I357" s="43">
        <f t="shared" si="104"/>
        <v>22.6</v>
      </c>
      <c r="J357" s="37"/>
      <c r="K357" s="45">
        <f t="shared" si="105"/>
        <v>0</v>
      </c>
    </row>
    <row r="358" ht="15.0" customHeight="1">
      <c r="A358" s="53" t="s">
        <v>480</v>
      </c>
      <c r="B358" s="112" t="s">
        <v>16</v>
      </c>
      <c r="C358" s="112">
        <v>24.0</v>
      </c>
      <c r="D358" s="113" t="s">
        <v>481</v>
      </c>
      <c r="E358" s="114">
        <v>0.9</v>
      </c>
      <c r="F358" s="74">
        <f t="shared" si="106"/>
        <v>21.6</v>
      </c>
      <c r="G358" s="36">
        <v>1.0</v>
      </c>
      <c r="H358" s="43">
        <f t="shared" si="103"/>
        <v>0.9416666667</v>
      </c>
      <c r="I358" s="43">
        <f t="shared" si="104"/>
        <v>22.6</v>
      </c>
      <c r="J358" s="37"/>
      <c r="K358" s="45">
        <f t="shared" si="105"/>
        <v>0</v>
      </c>
      <c r="L358" s="12"/>
    </row>
    <row r="359" ht="15.0" customHeight="1">
      <c r="A359" s="39" t="s">
        <v>482</v>
      </c>
      <c r="B359" s="40" t="s">
        <v>153</v>
      </c>
      <c r="C359" s="41">
        <v>24.0</v>
      </c>
      <c r="D359" s="33">
        <v>8.002270876783E12</v>
      </c>
      <c r="E359" s="42">
        <v>0.55</v>
      </c>
      <c r="F359" s="35">
        <v>13.2</v>
      </c>
      <c r="G359" s="36">
        <v>1.0</v>
      </c>
      <c r="H359" s="43">
        <f t="shared" si="103"/>
        <v>0.5916666667</v>
      </c>
      <c r="I359" s="43">
        <f t="shared" si="104"/>
        <v>14.2</v>
      </c>
      <c r="J359" s="37"/>
      <c r="K359" s="45">
        <f t="shared" si="105"/>
        <v>0</v>
      </c>
    </row>
    <row r="360" ht="15.0" customHeight="1">
      <c r="A360" s="111" t="s">
        <v>483</v>
      </c>
      <c r="B360" s="40" t="s">
        <v>153</v>
      </c>
      <c r="C360" s="41">
        <v>24.0</v>
      </c>
      <c r="D360" s="33" t="s">
        <v>484</v>
      </c>
      <c r="E360" s="42">
        <v>0.65</v>
      </c>
      <c r="F360" s="35">
        <v>15.6</v>
      </c>
      <c r="G360" s="36">
        <v>1.0</v>
      </c>
      <c r="H360" s="43">
        <f t="shared" si="103"/>
        <v>0.6916666667</v>
      </c>
      <c r="I360" s="43">
        <f t="shared" si="104"/>
        <v>16.6</v>
      </c>
      <c r="J360" s="37"/>
      <c r="K360" s="45">
        <f t="shared" si="105"/>
        <v>0</v>
      </c>
    </row>
    <row r="361" ht="15.0" customHeight="1">
      <c r="A361" s="111" t="s">
        <v>485</v>
      </c>
      <c r="B361" s="40" t="s">
        <v>153</v>
      </c>
      <c r="C361" s="41">
        <v>24.0</v>
      </c>
      <c r="D361" s="33" t="s">
        <v>486</v>
      </c>
      <c r="E361" s="42">
        <v>0.65</v>
      </c>
      <c r="F361" s="35">
        <v>15.6</v>
      </c>
      <c r="G361" s="36">
        <v>1.0</v>
      </c>
      <c r="H361" s="43">
        <f t="shared" si="103"/>
        <v>0.6916666667</v>
      </c>
      <c r="I361" s="43">
        <f t="shared" si="104"/>
        <v>16.6</v>
      </c>
      <c r="J361" s="37"/>
      <c r="K361" s="45">
        <f t="shared" si="105"/>
        <v>0</v>
      </c>
    </row>
    <row r="362" ht="15.0" customHeight="1">
      <c r="A362" s="111" t="s">
        <v>487</v>
      </c>
      <c r="B362" s="40" t="s">
        <v>153</v>
      </c>
      <c r="C362" s="41">
        <v>24.0</v>
      </c>
      <c r="D362" s="33" t="s">
        <v>488</v>
      </c>
      <c r="E362" s="42">
        <v>0.65</v>
      </c>
      <c r="F362" s="35">
        <v>15.6</v>
      </c>
      <c r="G362" s="36">
        <v>1.0</v>
      </c>
      <c r="H362" s="43">
        <f t="shared" si="103"/>
        <v>0.6916666667</v>
      </c>
      <c r="I362" s="43">
        <f t="shared" si="104"/>
        <v>16.6</v>
      </c>
      <c r="J362" s="37"/>
      <c r="K362" s="45">
        <f t="shared" si="105"/>
        <v>0</v>
      </c>
    </row>
    <row r="363" ht="15.0" customHeight="1">
      <c r="A363" s="111" t="s">
        <v>489</v>
      </c>
      <c r="B363" s="40" t="s">
        <v>153</v>
      </c>
      <c r="C363" s="41">
        <v>24.0</v>
      </c>
      <c r="D363" s="33" t="s">
        <v>490</v>
      </c>
      <c r="E363" s="42">
        <v>0.65</v>
      </c>
      <c r="F363" s="35">
        <v>15.6</v>
      </c>
      <c r="G363" s="36">
        <v>1.0</v>
      </c>
      <c r="H363" s="43">
        <f t="shared" si="103"/>
        <v>0.6916666667</v>
      </c>
      <c r="I363" s="43">
        <f t="shared" si="104"/>
        <v>16.6</v>
      </c>
      <c r="J363" s="37"/>
      <c r="K363" s="45">
        <f t="shared" si="105"/>
        <v>0</v>
      </c>
    </row>
    <row r="364" ht="15.0" customHeight="1">
      <c r="A364" s="30" t="s">
        <v>491</v>
      </c>
      <c r="B364" s="31"/>
      <c r="C364" s="32"/>
      <c r="D364" s="33"/>
      <c r="E364" s="34"/>
      <c r="F364" s="35"/>
      <c r="G364" s="36"/>
      <c r="H364" s="43"/>
      <c r="I364" s="43"/>
      <c r="J364" s="37"/>
      <c r="K364" s="45"/>
    </row>
    <row r="365" ht="15.0" customHeight="1">
      <c r="A365" s="52" t="s">
        <v>492</v>
      </c>
      <c r="B365" s="58" t="s">
        <v>408</v>
      </c>
      <c r="C365" s="58">
        <v>24.0</v>
      </c>
      <c r="D365" s="115" t="s">
        <v>493</v>
      </c>
      <c r="E365" s="56">
        <v>1.75</v>
      </c>
      <c r="F365" s="74">
        <f>E365*C365</f>
        <v>42</v>
      </c>
      <c r="G365" s="36">
        <v>1.0</v>
      </c>
      <c r="H365" s="43">
        <f t="shared" ref="H365:H398" si="107">I365/C365</f>
        <v>1.791666667</v>
      </c>
      <c r="I365" s="43">
        <f t="shared" ref="I365:I398" si="108">F365+G365</f>
        <v>43</v>
      </c>
      <c r="J365" s="37"/>
      <c r="K365" s="45">
        <f t="shared" ref="K365:K379" si="109">I365*J365</f>
        <v>0</v>
      </c>
    </row>
    <row r="366" ht="15.0" customHeight="1">
      <c r="A366" s="116" t="s">
        <v>494</v>
      </c>
      <c r="B366" s="40" t="s">
        <v>153</v>
      </c>
      <c r="C366" s="40">
        <v>24.0</v>
      </c>
      <c r="D366" s="90">
        <v>6.954767411354E12</v>
      </c>
      <c r="E366" s="56">
        <v>1.65</v>
      </c>
      <c r="F366" s="57">
        <f t="shared" ref="F366:F367" si="110">C366*E366</f>
        <v>39.6</v>
      </c>
      <c r="G366" s="36">
        <v>1.0</v>
      </c>
      <c r="H366" s="43">
        <f t="shared" si="107"/>
        <v>1.691666667</v>
      </c>
      <c r="I366" s="43">
        <f t="shared" si="108"/>
        <v>40.6</v>
      </c>
      <c r="J366" s="37"/>
      <c r="K366" s="45">
        <f t="shared" si="109"/>
        <v>0</v>
      </c>
    </row>
    <row r="367" ht="15.0" customHeight="1">
      <c r="A367" s="116" t="s">
        <v>495</v>
      </c>
      <c r="B367" s="40" t="s">
        <v>153</v>
      </c>
      <c r="C367" s="40">
        <v>24.0</v>
      </c>
      <c r="D367" s="90">
        <v>6.95476741175E12</v>
      </c>
      <c r="E367" s="56">
        <v>1.65</v>
      </c>
      <c r="F367" s="57">
        <f t="shared" si="110"/>
        <v>39.6</v>
      </c>
      <c r="G367" s="36">
        <v>1.0</v>
      </c>
      <c r="H367" s="43">
        <f t="shared" si="107"/>
        <v>1.691666667</v>
      </c>
      <c r="I367" s="43">
        <f t="shared" si="108"/>
        <v>40.6</v>
      </c>
      <c r="J367" s="37"/>
      <c r="K367" s="45">
        <f t="shared" si="109"/>
        <v>0</v>
      </c>
    </row>
    <row r="368" ht="15.0" customHeight="1">
      <c r="A368" s="52" t="s">
        <v>496</v>
      </c>
      <c r="B368" s="58" t="s">
        <v>408</v>
      </c>
      <c r="C368" s="58">
        <v>24.0</v>
      </c>
      <c r="D368" s="115" t="s">
        <v>497</v>
      </c>
      <c r="E368" s="56">
        <v>1.75</v>
      </c>
      <c r="F368" s="74">
        <v>42.0</v>
      </c>
      <c r="G368" s="36">
        <v>1.0</v>
      </c>
      <c r="H368" s="43">
        <f t="shared" si="107"/>
        <v>1.791666667</v>
      </c>
      <c r="I368" s="43">
        <f t="shared" si="108"/>
        <v>43</v>
      </c>
      <c r="J368" s="37"/>
      <c r="K368" s="45">
        <f t="shared" si="109"/>
        <v>0</v>
      </c>
    </row>
    <row r="369" ht="15.0" customHeight="1">
      <c r="A369" s="116" t="s">
        <v>498</v>
      </c>
      <c r="B369" s="40" t="s">
        <v>408</v>
      </c>
      <c r="C369" s="100" t="s">
        <v>304</v>
      </c>
      <c r="D369" s="90">
        <v>4.90210203872E12</v>
      </c>
      <c r="E369" s="56">
        <v>1.75</v>
      </c>
      <c r="F369" s="57">
        <f t="shared" ref="F369:F373" si="111">C369*E369</f>
        <v>42</v>
      </c>
      <c r="G369" s="36">
        <v>1.0</v>
      </c>
      <c r="H369" s="43">
        <f t="shared" si="107"/>
        <v>1.791666667</v>
      </c>
      <c r="I369" s="43">
        <f t="shared" si="108"/>
        <v>43</v>
      </c>
      <c r="J369" s="37"/>
      <c r="K369" s="45">
        <f t="shared" si="109"/>
        <v>0</v>
      </c>
    </row>
    <row r="370" ht="15.0" customHeight="1">
      <c r="A370" s="116" t="s">
        <v>499</v>
      </c>
      <c r="B370" s="40" t="s">
        <v>153</v>
      </c>
      <c r="C370" s="100" t="s">
        <v>304</v>
      </c>
      <c r="D370" s="90">
        <v>6.928804025248E12</v>
      </c>
      <c r="E370" s="56">
        <v>1.35</v>
      </c>
      <c r="F370" s="57">
        <f t="shared" si="111"/>
        <v>32.4</v>
      </c>
      <c r="G370" s="36">
        <v>1.0</v>
      </c>
      <c r="H370" s="43">
        <f t="shared" si="107"/>
        <v>1.391666667</v>
      </c>
      <c r="I370" s="43">
        <f t="shared" si="108"/>
        <v>33.4</v>
      </c>
      <c r="J370" s="37"/>
      <c r="K370" s="45">
        <f t="shared" si="109"/>
        <v>0</v>
      </c>
    </row>
    <row r="371" ht="15.0" customHeight="1">
      <c r="A371" s="116" t="s">
        <v>500</v>
      </c>
      <c r="B371" s="40" t="s">
        <v>153</v>
      </c>
      <c r="C371" s="100" t="s">
        <v>304</v>
      </c>
      <c r="D371" s="90">
        <v>6.928804015478E12</v>
      </c>
      <c r="E371" s="56">
        <v>1.35</v>
      </c>
      <c r="F371" s="57">
        <f t="shared" si="111"/>
        <v>32.4</v>
      </c>
      <c r="G371" s="36">
        <v>1.0</v>
      </c>
      <c r="H371" s="43">
        <f t="shared" si="107"/>
        <v>1.391666667</v>
      </c>
      <c r="I371" s="43">
        <f t="shared" si="108"/>
        <v>33.4</v>
      </c>
      <c r="J371" s="37"/>
      <c r="K371" s="45">
        <f t="shared" si="109"/>
        <v>0</v>
      </c>
    </row>
    <row r="372" ht="15.0" customHeight="1">
      <c r="A372" s="116" t="s">
        <v>501</v>
      </c>
      <c r="B372" s="40" t="s">
        <v>153</v>
      </c>
      <c r="C372" s="100" t="s">
        <v>304</v>
      </c>
      <c r="D372" s="90">
        <v>6.928804014679E12</v>
      </c>
      <c r="E372" s="56">
        <v>1.35</v>
      </c>
      <c r="F372" s="57">
        <f t="shared" si="111"/>
        <v>32.4</v>
      </c>
      <c r="G372" s="36">
        <v>1.0</v>
      </c>
      <c r="H372" s="43">
        <f t="shared" si="107"/>
        <v>1.391666667</v>
      </c>
      <c r="I372" s="43">
        <f t="shared" si="108"/>
        <v>33.4</v>
      </c>
      <c r="J372" s="37"/>
      <c r="K372" s="45">
        <f t="shared" si="109"/>
        <v>0</v>
      </c>
    </row>
    <row r="373" ht="15.0" customHeight="1">
      <c r="A373" s="116" t="s">
        <v>502</v>
      </c>
      <c r="B373" s="40" t="s">
        <v>153</v>
      </c>
      <c r="C373" s="100" t="s">
        <v>304</v>
      </c>
      <c r="D373" s="90">
        <v>6.928804015461E12</v>
      </c>
      <c r="E373" s="56">
        <v>1.35</v>
      </c>
      <c r="F373" s="57">
        <f t="shared" si="111"/>
        <v>32.4</v>
      </c>
      <c r="G373" s="36">
        <v>1.0</v>
      </c>
      <c r="H373" s="43">
        <f t="shared" si="107"/>
        <v>1.391666667</v>
      </c>
      <c r="I373" s="43">
        <f t="shared" si="108"/>
        <v>33.4</v>
      </c>
      <c r="J373" s="37"/>
      <c r="K373" s="45">
        <f t="shared" si="109"/>
        <v>0</v>
      </c>
    </row>
    <row r="374" ht="15.0" customHeight="1">
      <c r="A374" s="53" t="s">
        <v>503</v>
      </c>
      <c r="B374" s="40" t="s">
        <v>153</v>
      </c>
      <c r="C374" s="100" t="s">
        <v>304</v>
      </c>
      <c r="D374" s="113">
        <v>4.062139018321E12</v>
      </c>
      <c r="E374" s="56">
        <v>0.9</v>
      </c>
      <c r="F374" s="74">
        <f t="shared" ref="F374:F381" si="112">E374*C374</f>
        <v>21.6</v>
      </c>
      <c r="G374" s="36">
        <v>1.0</v>
      </c>
      <c r="H374" s="43">
        <f t="shared" si="107"/>
        <v>0.9416666667</v>
      </c>
      <c r="I374" s="43">
        <f t="shared" si="108"/>
        <v>22.6</v>
      </c>
      <c r="J374" s="37"/>
      <c r="K374" s="45">
        <f t="shared" si="109"/>
        <v>0</v>
      </c>
    </row>
    <row r="375" ht="15.0" customHeight="1">
      <c r="A375" s="53" t="s">
        <v>504</v>
      </c>
      <c r="B375" s="40" t="s">
        <v>153</v>
      </c>
      <c r="C375" s="100" t="s">
        <v>304</v>
      </c>
      <c r="D375" s="113">
        <v>4.062139018352E12</v>
      </c>
      <c r="E375" s="56">
        <v>0.9</v>
      </c>
      <c r="F375" s="74">
        <f t="shared" si="112"/>
        <v>21.6</v>
      </c>
      <c r="G375" s="36">
        <v>1.0</v>
      </c>
      <c r="H375" s="43">
        <f t="shared" si="107"/>
        <v>0.9416666667</v>
      </c>
      <c r="I375" s="43">
        <f t="shared" si="108"/>
        <v>22.6</v>
      </c>
      <c r="J375" s="37"/>
      <c r="K375" s="45">
        <f t="shared" si="109"/>
        <v>0</v>
      </c>
    </row>
    <row r="376" ht="15.0" customHeight="1">
      <c r="A376" s="52" t="s">
        <v>505</v>
      </c>
      <c r="B376" s="58" t="s">
        <v>86</v>
      </c>
      <c r="C376" s="58">
        <v>24.0</v>
      </c>
      <c r="D376" s="115" t="s">
        <v>506</v>
      </c>
      <c r="E376" s="56">
        <v>1.05</v>
      </c>
      <c r="F376" s="74">
        <f t="shared" si="112"/>
        <v>25.2</v>
      </c>
      <c r="G376" s="36">
        <v>1.0</v>
      </c>
      <c r="H376" s="43">
        <f t="shared" si="107"/>
        <v>1.091666667</v>
      </c>
      <c r="I376" s="43">
        <f t="shared" si="108"/>
        <v>26.2</v>
      </c>
      <c r="J376" s="37"/>
      <c r="K376" s="45">
        <f t="shared" si="109"/>
        <v>0</v>
      </c>
    </row>
    <row r="377" ht="15.0" customHeight="1">
      <c r="A377" s="52" t="s">
        <v>507</v>
      </c>
      <c r="B377" s="58" t="s">
        <v>153</v>
      </c>
      <c r="C377" s="58">
        <v>24.0</v>
      </c>
      <c r="D377" s="117" t="s">
        <v>508</v>
      </c>
      <c r="E377" s="56">
        <v>1.05</v>
      </c>
      <c r="F377" s="74">
        <f t="shared" si="112"/>
        <v>25.2</v>
      </c>
      <c r="G377" s="36">
        <v>1.0</v>
      </c>
      <c r="H377" s="43">
        <f t="shared" si="107"/>
        <v>1.091666667</v>
      </c>
      <c r="I377" s="43">
        <f t="shared" si="108"/>
        <v>26.2</v>
      </c>
      <c r="J377" s="37"/>
      <c r="K377" s="45">
        <f t="shared" si="109"/>
        <v>0</v>
      </c>
    </row>
    <row r="378" ht="15.0" customHeight="1">
      <c r="A378" s="52" t="s">
        <v>509</v>
      </c>
      <c r="B378" s="58" t="s">
        <v>86</v>
      </c>
      <c r="C378" s="58">
        <v>24.0</v>
      </c>
      <c r="D378" s="115" t="s">
        <v>510</v>
      </c>
      <c r="E378" s="56">
        <v>1.05</v>
      </c>
      <c r="F378" s="74">
        <f t="shared" si="112"/>
        <v>25.2</v>
      </c>
      <c r="G378" s="36">
        <v>1.0</v>
      </c>
      <c r="H378" s="43">
        <f t="shared" si="107"/>
        <v>1.091666667</v>
      </c>
      <c r="I378" s="43">
        <f t="shared" si="108"/>
        <v>26.2</v>
      </c>
      <c r="J378" s="37"/>
      <c r="K378" s="45">
        <f t="shared" si="109"/>
        <v>0</v>
      </c>
    </row>
    <row r="379" ht="15.0" customHeight="1">
      <c r="A379" s="52" t="s">
        <v>511</v>
      </c>
      <c r="B379" s="58" t="s">
        <v>86</v>
      </c>
      <c r="C379" s="58">
        <v>24.0</v>
      </c>
      <c r="D379" s="115" t="s">
        <v>512</v>
      </c>
      <c r="E379" s="56">
        <v>1.05</v>
      </c>
      <c r="F379" s="74">
        <f t="shared" si="112"/>
        <v>25.2</v>
      </c>
      <c r="G379" s="36">
        <v>1.0</v>
      </c>
      <c r="H379" s="43">
        <f t="shared" si="107"/>
        <v>1.091666667</v>
      </c>
      <c r="I379" s="43">
        <f t="shared" si="108"/>
        <v>26.2</v>
      </c>
      <c r="J379" s="37"/>
      <c r="K379" s="45">
        <f t="shared" si="109"/>
        <v>0</v>
      </c>
    </row>
    <row r="380" ht="15.0" customHeight="1">
      <c r="A380" s="53" t="s">
        <v>513</v>
      </c>
      <c r="B380" s="40" t="s">
        <v>408</v>
      </c>
      <c r="C380" s="40">
        <v>24.0</v>
      </c>
      <c r="D380" s="90">
        <v>5.449000340825E12</v>
      </c>
      <c r="E380" s="56">
        <v>0.95</v>
      </c>
      <c r="F380" s="101">
        <f t="shared" si="112"/>
        <v>22.8</v>
      </c>
      <c r="G380" s="36">
        <v>1.0</v>
      </c>
      <c r="H380" s="43">
        <f t="shared" si="107"/>
        <v>0.9916666667</v>
      </c>
      <c r="I380" s="43">
        <f t="shared" si="108"/>
        <v>23.8</v>
      </c>
      <c r="J380" s="37"/>
      <c r="K380" s="45"/>
    </row>
    <row r="381" ht="15.0" customHeight="1">
      <c r="A381" s="53" t="s">
        <v>514</v>
      </c>
      <c r="B381" s="40" t="s">
        <v>270</v>
      </c>
      <c r="C381" s="40">
        <v>24.0</v>
      </c>
      <c r="D381" s="90">
        <v>9.555589205519E12</v>
      </c>
      <c r="E381" s="56">
        <v>1.05</v>
      </c>
      <c r="F381" s="101">
        <f t="shared" si="112"/>
        <v>25.2</v>
      </c>
      <c r="G381" s="36">
        <v>1.0</v>
      </c>
      <c r="H381" s="43">
        <f t="shared" si="107"/>
        <v>1.091666667</v>
      </c>
      <c r="I381" s="43">
        <f t="shared" si="108"/>
        <v>26.2</v>
      </c>
      <c r="J381" s="37"/>
      <c r="K381" s="45"/>
    </row>
    <row r="382" ht="15.0" customHeight="1">
      <c r="A382" s="52" t="s">
        <v>515</v>
      </c>
      <c r="B382" s="58" t="s">
        <v>153</v>
      </c>
      <c r="C382" s="58">
        <v>24.0</v>
      </c>
      <c r="D382" s="115" t="s">
        <v>516</v>
      </c>
      <c r="E382" s="56">
        <v>1.05</v>
      </c>
      <c r="F382" s="74">
        <v>25.2</v>
      </c>
      <c r="G382" s="36">
        <v>1.0</v>
      </c>
      <c r="H382" s="43">
        <f t="shared" si="107"/>
        <v>1.091666667</v>
      </c>
      <c r="I382" s="43">
        <f t="shared" si="108"/>
        <v>26.2</v>
      </c>
      <c r="J382" s="37"/>
      <c r="K382" s="45">
        <f t="shared" ref="K382:K398" si="113">I382*J382</f>
        <v>0</v>
      </c>
    </row>
    <row r="383" ht="15.0" customHeight="1">
      <c r="A383" s="52" t="s">
        <v>517</v>
      </c>
      <c r="B383" s="58" t="s">
        <v>518</v>
      </c>
      <c r="C383" s="58">
        <v>24.0</v>
      </c>
      <c r="D383" s="51" t="s">
        <v>519</v>
      </c>
      <c r="E383" s="56">
        <v>1.05</v>
      </c>
      <c r="F383" s="74">
        <f t="shared" ref="F383:F393" si="114">E383*C383</f>
        <v>25.2</v>
      </c>
      <c r="G383" s="36">
        <v>1.0</v>
      </c>
      <c r="H383" s="43">
        <f t="shared" si="107"/>
        <v>1.091666667</v>
      </c>
      <c r="I383" s="43">
        <f t="shared" si="108"/>
        <v>26.2</v>
      </c>
      <c r="J383" s="37"/>
      <c r="K383" s="45">
        <f t="shared" si="113"/>
        <v>0</v>
      </c>
    </row>
    <row r="384" ht="15.0" customHeight="1">
      <c r="A384" s="52" t="s">
        <v>520</v>
      </c>
      <c r="B384" s="58" t="s">
        <v>153</v>
      </c>
      <c r="C384" s="58">
        <v>24.0</v>
      </c>
      <c r="D384" s="51" t="s">
        <v>521</v>
      </c>
      <c r="E384" s="56">
        <v>1.05</v>
      </c>
      <c r="F384" s="74">
        <f t="shared" si="114"/>
        <v>25.2</v>
      </c>
      <c r="G384" s="36">
        <v>1.0</v>
      </c>
      <c r="H384" s="43">
        <f t="shared" si="107"/>
        <v>1.091666667</v>
      </c>
      <c r="I384" s="43">
        <f t="shared" si="108"/>
        <v>26.2</v>
      </c>
      <c r="J384" s="37"/>
      <c r="K384" s="45">
        <f t="shared" si="113"/>
        <v>0</v>
      </c>
    </row>
    <row r="385" ht="15.0" customHeight="1">
      <c r="A385" s="53" t="s">
        <v>522</v>
      </c>
      <c r="B385" s="40" t="s">
        <v>16</v>
      </c>
      <c r="C385" s="100" t="s">
        <v>304</v>
      </c>
      <c r="D385" s="90">
        <v>4.062139019076E12</v>
      </c>
      <c r="E385" s="56">
        <v>1.55</v>
      </c>
      <c r="F385" s="74">
        <f t="shared" si="114"/>
        <v>37.2</v>
      </c>
      <c r="G385" s="36">
        <v>1.0</v>
      </c>
      <c r="H385" s="43">
        <f t="shared" si="107"/>
        <v>1.591666667</v>
      </c>
      <c r="I385" s="43">
        <f t="shared" si="108"/>
        <v>38.2</v>
      </c>
      <c r="J385" s="37"/>
      <c r="K385" s="45">
        <f t="shared" si="113"/>
        <v>0</v>
      </c>
    </row>
    <row r="386" ht="15.0" customHeight="1">
      <c r="A386" s="53" t="s">
        <v>523</v>
      </c>
      <c r="B386" s="40" t="s">
        <v>16</v>
      </c>
      <c r="C386" s="100" t="s">
        <v>304</v>
      </c>
      <c r="D386" s="90">
        <v>4.062139019045E12</v>
      </c>
      <c r="E386" s="56">
        <v>1.55</v>
      </c>
      <c r="F386" s="74">
        <f t="shared" si="114"/>
        <v>37.2</v>
      </c>
      <c r="G386" s="36">
        <v>1.0</v>
      </c>
      <c r="H386" s="43">
        <f t="shared" si="107"/>
        <v>1.591666667</v>
      </c>
      <c r="I386" s="43">
        <f t="shared" si="108"/>
        <v>38.2</v>
      </c>
      <c r="J386" s="37"/>
      <c r="K386" s="45">
        <f t="shared" si="113"/>
        <v>0</v>
      </c>
    </row>
    <row r="387" ht="15.0" customHeight="1">
      <c r="A387" s="53" t="s">
        <v>524</v>
      </c>
      <c r="B387" s="40" t="s">
        <v>16</v>
      </c>
      <c r="C387" s="41">
        <v>24.0</v>
      </c>
      <c r="D387" s="33">
        <v>4.062139019014E12</v>
      </c>
      <c r="E387" s="56">
        <v>1.55</v>
      </c>
      <c r="F387" s="74">
        <f t="shared" si="114"/>
        <v>37.2</v>
      </c>
      <c r="G387" s="36">
        <v>1.0</v>
      </c>
      <c r="H387" s="43">
        <f t="shared" si="107"/>
        <v>1.591666667</v>
      </c>
      <c r="I387" s="43">
        <f t="shared" si="108"/>
        <v>38.2</v>
      </c>
      <c r="J387" s="37"/>
      <c r="K387" s="45">
        <f t="shared" si="113"/>
        <v>0</v>
      </c>
    </row>
    <row r="388" ht="15.0" customHeight="1">
      <c r="A388" s="110" t="s">
        <v>525</v>
      </c>
      <c r="B388" s="118" t="s">
        <v>526</v>
      </c>
      <c r="C388" s="58">
        <v>24.0</v>
      </c>
      <c r="D388" s="119">
        <v>8.801069417905E12</v>
      </c>
      <c r="E388" s="56">
        <v>1.05</v>
      </c>
      <c r="F388" s="74">
        <f t="shared" si="114"/>
        <v>25.2</v>
      </c>
      <c r="G388" s="36">
        <v>1.0</v>
      </c>
      <c r="H388" s="43">
        <f t="shared" si="107"/>
        <v>1.091666667</v>
      </c>
      <c r="I388" s="43">
        <f t="shared" si="108"/>
        <v>26.2</v>
      </c>
      <c r="J388" s="37"/>
      <c r="K388" s="45">
        <f t="shared" si="113"/>
        <v>0</v>
      </c>
    </row>
    <row r="389" ht="15.0" customHeight="1">
      <c r="A389" s="110" t="s">
        <v>527</v>
      </c>
      <c r="B389" s="118" t="s">
        <v>526</v>
      </c>
      <c r="C389" s="58">
        <v>24.0</v>
      </c>
      <c r="D389" s="119">
        <v>8.80106941795E12</v>
      </c>
      <c r="E389" s="56">
        <v>1.05</v>
      </c>
      <c r="F389" s="74">
        <f t="shared" si="114"/>
        <v>25.2</v>
      </c>
      <c r="G389" s="36">
        <v>1.0</v>
      </c>
      <c r="H389" s="43">
        <f t="shared" si="107"/>
        <v>1.091666667</v>
      </c>
      <c r="I389" s="43">
        <f t="shared" si="108"/>
        <v>26.2</v>
      </c>
      <c r="J389" s="37"/>
      <c r="K389" s="45">
        <f t="shared" si="113"/>
        <v>0</v>
      </c>
      <c r="Q389" s="120"/>
    </row>
    <row r="390" ht="15.0" customHeight="1">
      <c r="A390" s="110" t="s">
        <v>528</v>
      </c>
      <c r="B390" s="58" t="s">
        <v>529</v>
      </c>
      <c r="C390" s="58">
        <v>24.0</v>
      </c>
      <c r="D390" s="119">
        <v>8.8010694211E12</v>
      </c>
      <c r="E390" s="56">
        <v>1.05</v>
      </c>
      <c r="F390" s="74">
        <f t="shared" si="114"/>
        <v>25.2</v>
      </c>
      <c r="G390" s="36">
        <v>1.0</v>
      </c>
      <c r="H390" s="43">
        <f t="shared" si="107"/>
        <v>1.091666667</v>
      </c>
      <c r="I390" s="43">
        <f t="shared" si="108"/>
        <v>26.2</v>
      </c>
      <c r="J390" s="37"/>
      <c r="K390" s="45">
        <f t="shared" si="113"/>
        <v>0</v>
      </c>
    </row>
    <row r="391" ht="15.0" customHeight="1">
      <c r="A391" s="110" t="s">
        <v>530</v>
      </c>
      <c r="B391" s="58" t="s">
        <v>529</v>
      </c>
      <c r="C391" s="58">
        <v>24.0</v>
      </c>
      <c r="D391" s="119">
        <v>8.801069421117E12</v>
      </c>
      <c r="E391" s="56">
        <v>1.05</v>
      </c>
      <c r="F391" s="74">
        <f t="shared" si="114"/>
        <v>25.2</v>
      </c>
      <c r="G391" s="36">
        <v>1.0</v>
      </c>
      <c r="H391" s="43">
        <f t="shared" si="107"/>
        <v>1.091666667</v>
      </c>
      <c r="I391" s="43">
        <f t="shared" si="108"/>
        <v>26.2</v>
      </c>
      <c r="J391" s="37"/>
      <c r="K391" s="45">
        <f t="shared" si="113"/>
        <v>0</v>
      </c>
    </row>
    <row r="392" ht="15.0" customHeight="1">
      <c r="A392" s="110" t="s">
        <v>531</v>
      </c>
      <c r="B392" s="58" t="s">
        <v>529</v>
      </c>
      <c r="C392" s="58">
        <v>24.0</v>
      </c>
      <c r="D392" s="119">
        <v>8.801069421124E12</v>
      </c>
      <c r="E392" s="56">
        <v>1.05</v>
      </c>
      <c r="F392" s="74">
        <f t="shared" si="114"/>
        <v>25.2</v>
      </c>
      <c r="G392" s="36">
        <v>1.0</v>
      </c>
      <c r="H392" s="43">
        <f t="shared" si="107"/>
        <v>1.091666667</v>
      </c>
      <c r="I392" s="43">
        <f t="shared" si="108"/>
        <v>26.2</v>
      </c>
      <c r="J392" s="37"/>
      <c r="K392" s="45">
        <f t="shared" si="113"/>
        <v>0</v>
      </c>
    </row>
    <row r="393" ht="15.0" customHeight="1">
      <c r="A393" s="121" t="s">
        <v>532</v>
      </c>
      <c r="B393" s="58" t="s">
        <v>153</v>
      </c>
      <c r="C393" s="58">
        <v>24.0</v>
      </c>
      <c r="D393" s="119">
        <v>5.0295780002E12</v>
      </c>
      <c r="E393" s="56">
        <v>1.35</v>
      </c>
      <c r="F393" s="74">
        <f t="shared" si="114"/>
        <v>32.4</v>
      </c>
      <c r="G393" s="36">
        <v>1.0</v>
      </c>
      <c r="H393" s="43">
        <f t="shared" si="107"/>
        <v>1.391666667</v>
      </c>
      <c r="I393" s="43">
        <f t="shared" si="108"/>
        <v>33.4</v>
      </c>
      <c r="J393" s="37"/>
      <c r="K393" s="45">
        <f t="shared" si="113"/>
        <v>0</v>
      </c>
    </row>
    <row r="394" ht="15.0" customHeight="1">
      <c r="A394" s="69" t="s">
        <v>533</v>
      </c>
      <c r="B394" s="40" t="s">
        <v>86</v>
      </c>
      <c r="C394" s="41">
        <v>24.0</v>
      </c>
      <c r="D394" s="122" t="s">
        <v>534</v>
      </c>
      <c r="E394" s="64">
        <v>1.35</v>
      </c>
      <c r="F394" s="57">
        <f t="shared" ref="F394:F398" si="115">C394*E394</f>
        <v>32.4</v>
      </c>
      <c r="G394" s="36">
        <v>1.0</v>
      </c>
      <c r="H394" s="43">
        <f t="shared" si="107"/>
        <v>1.391666667</v>
      </c>
      <c r="I394" s="43">
        <f t="shared" si="108"/>
        <v>33.4</v>
      </c>
      <c r="J394" s="37"/>
      <c r="K394" s="45">
        <f t="shared" si="113"/>
        <v>0</v>
      </c>
    </row>
    <row r="395" ht="15.0" customHeight="1">
      <c r="A395" s="69" t="s">
        <v>535</v>
      </c>
      <c r="B395" s="40" t="s">
        <v>153</v>
      </c>
      <c r="C395" s="41">
        <v>24.0</v>
      </c>
      <c r="D395" s="122" t="s">
        <v>536</v>
      </c>
      <c r="E395" s="64">
        <v>1.5</v>
      </c>
      <c r="F395" s="57">
        <f t="shared" si="115"/>
        <v>36</v>
      </c>
      <c r="G395" s="36">
        <v>1.0</v>
      </c>
      <c r="H395" s="43">
        <f t="shared" si="107"/>
        <v>1.541666667</v>
      </c>
      <c r="I395" s="43">
        <f t="shared" si="108"/>
        <v>37</v>
      </c>
      <c r="J395" s="37"/>
      <c r="K395" s="45">
        <f t="shared" si="113"/>
        <v>0</v>
      </c>
    </row>
    <row r="396" ht="15.0" customHeight="1">
      <c r="A396" s="69" t="s">
        <v>537</v>
      </c>
      <c r="B396" s="40" t="s">
        <v>153</v>
      </c>
      <c r="C396" s="41">
        <v>24.0</v>
      </c>
      <c r="D396" s="122" t="s">
        <v>538</v>
      </c>
      <c r="E396" s="64">
        <v>1.5</v>
      </c>
      <c r="F396" s="57">
        <f t="shared" si="115"/>
        <v>36</v>
      </c>
      <c r="G396" s="36">
        <v>1.0</v>
      </c>
      <c r="H396" s="43">
        <f t="shared" si="107"/>
        <v>1.541666667</v>
      </c>
      <c r="I396" s="43">
        <f t="shared" si="108"/>
        <v>37</v>
      </c>
      <c r="J396" s="37"/>
      <c r="K396" s="45">
        <f t="shared" si="113"/>
        <v>0</v>
      </c>
    </row>
    <row r="397" ht="15.0" customHeight="1">
      <c r="A397" s="69" t="s">
        <v>539</v>
      </c>
      <c r="B397" s="40" t="s">
        <v>153</v>
      </c>
      <c r="C397" s="41">
        <v>24.0</v>
      </c>
      <c r="D397" s="122" t="s">
        <v>540</v>
      </c>
      <c r="E397" s="64">
        <v>1.5</v>
      </c>
      <c r="F397" s="57">
        <f t="shared" si="115"/>
        <v>36</v>
      </c>
      <c r="G397" s="36">
        <v>1.0</v>
      </c>
      <c r="H397" s="43">
        <f t="shared" si="107"/>
        <v>1.541666667</v>
      </c>
      <c r="I397" s="43">
        <f t="shared" si="108"/>
        <v>37</v>
      </c>
      <c r="J397" s="37"/>
      <c r="K397" s="45">
        <f t="shared" si="113"/>
        <v>0</v>
      </c>
    </row>
    <row r="398" ht="15.0" customHeight="1">
      <c r="A398" s="69" t="s">
        <v>541</v>
      </c>
      <c r="B398" s="40" t="s">
        <v>153</v>
      </c>
      <c r="C398" s="41">
        <v>24.0</v>
      </c>
      <c r="D398" s="122" t="s">
        <v>542</v>
      </c>
      <c r="E398" s="64">
        <v>1.5</v>
      </c>
      <c r="F398" s="57">
        <f t="shared" si="115"/>
        <v>36</v>
      </c>
      <c r="G398" s="36">
        <v>1.0</v>
      </c>
      <c r="H398" s="43">
        <f t="shared" si="107"/>
        <v>1.541666667</v>
      </c>
      <c r="I398" s="43">
        <f t="shared" si="108"/>
        <v>37</v>
      </c>
      <c r="J398" s="37"/>
      <c r="K398" s="45">
        <f t="shared" si="113"/>
        <v>0</v>
      </c>
    </row>
    <row r="399" ht="15.0" customHeight="1">
      <c r="A399" s="30" t="s">
        <v>543</v>
      </c>
      <c r="B399" s="31"/>
      <c r="C399" s="32"/>
      <c r="D399" s="33"/>
      <c r="E399" s="34"/>
      <c r="F399" s="35"/>
      <c r="G399" s="36"/>
      <c r="H399" s="43"/>
      <c r="I399" s="43"/>
      <c r="J399" s="37"/>
      <c r="K399" s="45"/>
    </row>
    <row r="400" ht="15.0" customHeight="1">
      <c r="A400" s="39" t="s">
        <v>544</v>
      </c>
      <c r="B400" s="40" t="s">
        <v>22</v>
      </c>
      <c r="C400" s="41">
        <v>24.0</v>
      </c>
      <c r="D400" s="33">
        <v>3.174780000363E12</v>
      </c>
      <c r="E400" s="42">
        <v>1.12</v>
      </c>
      <c r="F400" s="35">
        <v>26.88</v>
      </c>
      <c r="G400" s="36">
        <v>1.0</v>
      </c>
      <c r="H400" s="43">
        <f t="shared" ref="H400:H449" si="116">I400/C400</f>
        <v>1.161666667</v>
      </c>
      <c r="I400" s="43">
        <f t="shared" ref="I400:I449" si="117">F400+G400</f>
        <v>27.88</v>
      </c>
      <c r="J400" s="37"/>
      <c r="K400" s="45">
        <f t="shared" ref="K400:K449" si="118">I400*J400</f>
        <v>0</v>
      </c>
    </row>
    <row r="401" ht="15.0" customHeight="1">
      <c r="A401" s="39" t="s">
        <v>545</v>
      </c>
      <c r="B401" s="40" t="s">
        <v>22</v>
      </c>
      <c r="C401" s="41">
        <v>24.0</v>
      </c>
      <c r="D401" s="33">
        <v>5.449000131836E12</v>
      </c>
      <c r="E401" s="42">
        <v>1.0</v>
      </c>
      <c r="F401" s="35">
        <v>24.0</v>
      </c>
      <c r="G401" s="36">
        <v>1.0</v>
      </c>
      <c r="H401" s="43">
        <f t="shared" si="116"/>
        <v>1.041666667</v>
      </c>
      <c r="I401" s="43">
        <f t="shared" si="117"/>
        <v>25</v>
      </c>
      <c r="J401" s="37"/>
      <c r="K401" s="45">
        <f t="shared" si="118"/>
        <v>0</v>
      </c>
    </row>
    <row r="402" ht="15.0" customHeight="1">
      <c r="A402" s="39" t="s">
        <v>546</v>
      </c>
      <c r="B402" s="40" t="s">
        <v>22</v>
      </c>
      <c r="C402" s="41">
        <v>24.0</v>
      </c>
      <c r="D402" s="33" t="s">
        <v>547</v>
      </c>
      <c r="E402" s="42">
        <v>1.16</v>
      </c>
      <c r="F402" s="35">
        <v>27.84</v>
      </c>
      <c r="G402" s="36">
        <v>1.0</v>
      </c>
      <c r="H402" s="43">
        <f t="shared" si="116"/>
        <v>1.201666667</v>
      </c>
      <c r="I402" s="43">
        <f t="shared" si="117"/>
        <v>28.84</v>
      </c>
      <c r="J402" s="37"/>
      <c r="K402" s="45">
        <f t="shared" si="118"/>
        <v>0</v>
      </c>
    </row>
    <row r="403" ht="15.0" customHeight="1">
      <c r="A403" s="39" t="s">
        <v>548</v>
      </c>
      <c r="B403" s="40" t="s">
        <v>22</v>
      </c>
      <c r="C403" s="41">
        <v>24.0</v>
      </c>
      <c r="D403" s="33" t="s">
        <v>549</v>
      </c>
      <c r="E403" s="42">
        <v>1.16</v>
      </c>
      <c r="F403" s="35">
        <v>27.84</v>
      </c>
      <c r="G403" s="36">
        <v>1.0</v>
      </c>
      <c r="H403" s="43">
        <f t="shared" si="116"/>
        <v>1.201666667</v>
      </c>
      <c r="I403" s="43">
        <f t="shared" si="117"/>
        <v>28.84</v>
      </c>
      <c r="J403" s="37"/>
      <c r="K403" s="45">
        <f t="shared" si="118"/>
        <v>0</v>
      </c>
    </row>
    <row r="404" ht="15.0" customHeight="1">
      <c r="A404" s="39" t="s">
        <v>550</v>
      </c>
      <c r="B404" s="40" t="s">
        <v>22</v>
      </c>
      <c r="C404" s="41">
        <v>24.0</v>
      </c>
      <c r="D404" s="33">
        <v>5.410221506604E12</v>
      </c>
      <c r="E404" s="42">
        <v>1.07</v>
      </c>
      <c r="F404" s="35">
        <v>25.68</v>
      </c>
      <c r="G404" s="36">
        <v>2.0</v>
      </c>
      <c r="H404" s="43">
        <f t="shared" si="116"/>
        <v>1.153333333</v>
      </c>
      <c r="I404" s="43">
        <f t="shared" si="117"/>
        <v>27.68</v>
      </c>
      <c r="J404" s="37"/>
      <c r="K404" s="45">
        <f t="shared" si="118"/>
        <v>0</v>
      </c>
    </row>
    <row r="405" ht="15.0" customHeight="1">
      <c r="A405" s="39" t="s">
        <v>551</v>
      </c>
      <c r="B405" s="40" t="s">
        <v>22</v>
      </c>
      <c r="C405" s="41">
        <v>24.0</v>
      </c>
      <c r="D405" s="33">
        <v>4.060800102683E12</v>
      </c>
      <c r="E405" s="42">
        <v>0.9</v>
      </c>
      <c r="F405" s="35">
        <v>21.6</v>
      </c>
      <c r="G405" s="36">
        <v>1.0</v>
      </c>
      <c r="H405" s="43">
        <f t="shared" si="116"/>
        <v>0.9416666667</v>
      </c>
      <c r="I405" s="43">
        <f t="shared" si="117"/>
        <v>22.6</v>
      </c>
      <c r="J405" s="37"/>
      <c r="K405" s="45">
        <f t="shared" si="118"/>
        <v>0</v>
      </c>
    </row>
    <row r="406" ht="15.0" customHeight="1">
      <c r="A406" s="39" t="s">
        <v>552</v>
      </c>
      <c r="B406" s="40" t="s">
        <v>22</v>
      </c>
      <c r="C406" s="41">
        <v>24.0</v>
      </c>
      <c r="D406" s="33">
        <v>3.502110000651E12</v>
      </c>
      <c r="E406" s="42">
        <v>0.88</v>
      </c>
      <c r="F406" s="35">
        <v>21.12</v>
      </c>
      <c r="G406" s="36">
        <v>1.0</v>
      </c>
      <c r="H406" s="43">
        <f t="shared" si="116"/>
        <v>0.9216666667</v>
      </c>
      <c r="I406" s="43">
        <f t="shared" si="117"/>
        <v>22.12</v>
      </c>
      <c r="J406" s="37"/>
      <c r="K406" s="45">
        <f t="shared" si="118"/>
        <v>0</v>
      </c>
    </row>
    <row r="407" ht="15.0" customHeight="1">
      <c r="A407" s="39" t="s">
        <v>553</v>
      </c>
      <c r="B407" s="40" t="s">
        <v>22</v>
      </c>
      <c r="C407" s="41">
        <v>24.0</v>
      </c>
      <c r="D407" s="33">
        <v>3.16893017031E12</v>
      </c>
      <c r="E407" s="42">
        <v>1.05</v>
      </c>
      <c r="F407" s="35">
        <v>25.2</v>
      </c>
      <c r="G407" s="36">
        <v>1.0</v>
      </c>
      <c r="H407" s="43">
        <f t="shared" si="116"/>
        <v>1.091666667</v>
      </c>
      <c r="I407" s="43">
        <f t="shared" si="117"/>
        <v>26.2</v>
      </c>
      <c r="J407" s="37"/>
      <c r="K407" s="45">
        <f t="shared" si="118"/>
        <v>0</v>
      </c>
    </row>
    <row r="408" ht="15.0" customHeight="1">
      <c r="A408" s="39" t="s">
        <v>554</v>
      </c>
      <c r="B408" s="40" t="s">
        <v>22</v>
      </c>
      <c r="C408" s="41">
        <v>24.0</v>
      </c>
      <c r="D408" s="33">
        <v>3.228886043714E12</v>
      </c>
      <c r="E408" s="42">
        <v>1.05</v>
      </c>
      <c r="F408" s="35">
        <v>25.2</v>
      </c>
      <c r="G408" s="36">
        <v>1.0</v>
      </c>
      <c r="H408" s="43">
        <f t="shared" si="116"/>
        <v>1.091666667</v>
      </c>
      <c r="I408" s="43">
        <f t="shared" si="117"/>
        <v>26.2</v>
      </c>
      <c r="J408" s="37"/>
      <c r="K408" s="45">
        <f t="shared" si="118"/>
        <v>0</v>
      </c>
    </row>
    <row r="409" ht="15.0" customHeight="1">
      <c r="A409" s="48" t="s">
        <v>555</v>
      </c>
      <c r="B409" s="40" t="s">
        <v>22</v>
      </c>
      <c r="C409" s="41">
        <v>24.0</v>
      </c>
      <c r="D409" s="33">
        <v>3.168930166016E12</v>
      </c>
      <c r="E409" s="42">
        <v>1.05</v>
      </c>
      <c r="F409" s="35">
        <v>25.2</v>
      </c>
      <c r="G409" s="36">
        <v>1.0</v>
      </c>
      <c r="H409" s="43">
        <f t="shared" si="116"/>
        <v>1.091666667</v>
      </c>
      <c r="I409" s="43">
        <f t="shared" si="117"/>
        <v>26.2</v>
      </c>
      <c r="J409" s="37"/>
      <c r="K409" s="45">
        <f t="shared" si="118"/>
        <v>0</v>
      </c>
    </row>
    <row r="410" ht="15.0" customHeight="1">
      <c r="A410" s="39" t="s">
        <v>556</v>
      </c>
      <c r="B410" s="40" t="s">
        <v>22</v>
      </c>
      <c r="C410" s="41">
        <v>24.0</v>
      </c>
      <c r="D410" s="33">
        <v>3.502110010674E12</v>
      </c>
      <c r="E410" s="42">
        <v>1.05</v>
      </c>
      <c r="F410" s="35">
        <v>25.2</v>
      </c>
      <c r="G410" s="36">
        <v>1.0</v>
      </c>
      <c r="H410" s="43">
        <f t="shared" si="116"/>
        <v>1.091666667</v>
      </c>
      <c r="I410" s="43">
        <f t="shared" si="117"/>
        <v>26.2</v>
      </c>
      <c r="J410" s="37"/>
      <c r="K410" s="45">
        <f t="shared" si="118"/>
        <v>0</v>
      </c>
    </row>
    <row r="411" ht="15.0" customHeight="1">
      <c r="A411" s="39" t="s">
        <v>557</v>
      </c>
      <c r="B411" s="40" t="s">
        <v>22</v>
      </c>
      <c r="C411" s="41">
        <v>24.0</v>
      </c>
      <c r="D411" s="33">
        <v>3.50211001081E12</v>
      </c>
      <c r="E411" s="42">
        <v>1.0</v>
      </c>
      <c r="F411" s="35">
        <v>24.0</v>
      </c>
      <c r="G411" s="36">
        <v>1.0</v>
      </c>
      <c r="H411" s="43">
        <f t="shared" si="116"/>
        <v>1.041666667</v>
      </c>
      <c r="I411" s="43">
        <f t="shared" si="117"/>
        <v>25</v>
      </c>
      <c r="J411" s="37"/>
      <c r="K411" s="45">
        <f t="shared" si="118"/>
        <v>0</v>
      </c>
    </row>
    <row r="412" ht="15.0" customHeight="1">
      <c r="A412" s="39" t="s">
        <v>558</v>
      </c>
      <c r="B412" s="40" t="s">
        <v>559</v>
      </c>
      <c r="C412" s="41">
        <v>24.0</v>
      </c>
      <c r="D412" s="33">
        <v>5.449000232465E12</v>
      </c>
      <c r="E412" s="42">
        <v>0.98</v>
      </c>
      <c r="F412" s="35">
        <v>23.52</v>
      </c>
      <c r="G412" s="36">
        <v>1.0</v>
      </c>
      <c r="H412" s="43">
        <f t="shared" si="116"/>
        <v>1.021666667</v>
      </c>
      <c r="I412" s="43">
        <f t="shared" si="117"/>
        <v>24.52</v>
      </c>
      <c r="J412" s="37"/>
      <c r="K412" s="45">
        <f t="shared" si="118"/>
        <v>0</v>
      </c>
    </row>
    <row r="413" ht="15.0" customHeight="1">
      <c r="A413" s="39" t="s">
        <v>560</v>
      </c>
      <c r="B413" s="40" t="s">
        <v>559</v>
      </c>
      <c r="C413" s="41">
        <v>24.0</v>
      </c>
      <c r="D413" s="33">
        <v>5.449000043252E12</v>
      </c>
      <c r="E413" s="42">
        <v>0.98</v>
      </c>
      <c r="F413" s="35">
        <v>23.52</v>
      </c>
      <c r="G413" s="36">
        <v>1.0</v>
      </c>
      <c r="H413" s="43">
        <f t="shared" si="116"/>
        <v>1.021666667</v>
      </c>
      <c r="I413" s="43">
        <f t="shared" si="117"/>
        <v>24.52</v>
      </c>
      <c r="J413" s="37"/>
      <c r="K413" s="45">
        <f t="shared" si="118"/>
        <v>0</v>
      </c>
    </row>
    <row r="414" ht="15.0" customHeight="1">
      <c r="A414" s="39" t="s">
        <v>561</v>
      </c>
      <c r="B414" s="40" t="s">
        <v>22</v>
      </c>
      <c r="C414" s="41">
        <v>24.0</v>
      </c>
      <c r="D414" s="33" t="s">
        <v>562</v>
      </c>
      <c r="E414" s="42">
        <v>1.1</v>
      </c>
      <c r="F414" s="35">
        <v>26.4</v>
      </c>
      <c r="G414" s="36">
        <v>1.0</v>
      </c>
      <c r="H414" s="43">
        <f t="shared" si="116"/>
        <v>1.141666667</v>
      </c>
      <c r="I414" s="43">
        <f t="shared" si="117"/>
        <v>27.4</v>
      </c>
      <c r="J414" s="37"/>
      <c r="K414" s="45">
        <f t="shared" si="118"/>
        <v>0</v>
      </c>
    </row>
    <row r="415" ht="15.0" customHeight="1">
      <c r="A415" s="39" t="s">
        <v>563</v>
      </c>
      <c r="B415" s="40" t="s">
        <v>22</v>
      </c>
      <c r="C415" s="41">
        <v>24.0</v>
      </c>
      <c r="D415" s="33" t="s">
        <v>564</v>
      </c>
      <c r="E415" s="42">
        <v>1.1</v>
      </c>
      <c r="F415" s="35">
        <v>26.4</v>
      </c>
      <c r="G415" s="36">
        <v>1.0</v>
      </c>
      <c r="H415" s="43">
        <f t="shared" si="116"/>
        <v>1.141666667</v>
      </c>
      <c r="I415" s="43">
        <f t="shared" si="117"/>
        <v>27.4</v>
      </c>
      <c r="J415" s="37"/>
      <c r="K415" s="45">
        <f t="shared" si="118"/>
        <v>0</v>
      </c>
    </row>
    <row r="416" ht="15.0" customHeight="1">
      <c r="A416" s="52" t="s">
        <v>565</v>
      </c>
      <c r="B416" s="58" t="s">
        <v>22</v>
      </c>
      <c r="C416" s="58">
        <v>24.0</v>
      </c>
      <c r="D416" s="51">
        <v>5.449000297136E12</v>
      </c>
      <c r="E416" s="42">
        <v>1.05</v>
      </c>
      <c r="F416" s="35">
        <v>25.2</v>
      </c>
      <c r="G416" s="36">
        <v>1.0</v>
      </c>
      <c r="H416" s="43">
        <f t="shared" si="116"/>
        <v>1.091666667</v>
      </c>
      <c r="I416" s="43">
        <f t="shared" si="117"/>
        <v>26.2</v>
      </c>
      <c r="J416" s="37"/>
      <c r="K416" s="45">
        <f t="shared" si="118"/>
        <v>0</v>
      </c>
    </row>
    <row r="417" ht="15.0" customHeight="1">
      <c r="A417" s="52" t="s">
        <v>566</v>
      </c>
      <c r="B417" s="58" t="s">
        <v>22</v>
      </c>
      <c r="C417" s="58">
        <v>24.0</v>
      </c>
      <c r="D417" s="51" t="s">
        <v>567</v>
      </c>
      <c r="E417" s="42">
        <v>1.05</v>
      </c>
      <c r="F417" s="35">
        <v>25.2</v>
      </c>
      <c r="G417" s="36">
        <v>1.0</v>
      </c>
      <c r="H417" s="43">
        <f t="shared" si="116"/>
        <v>1.091666667</v>
      </c>
      <c r="I417" s="43">
        <f t="shared" si="117"/>
        <v>26.2</v>
      </c>
      <c r="J417" s="37"/>
      <c r="K417" s="45">
        <f t="shared" si="118"/>
        <v>0</v>
      </c>
    </row>
    <row r="418" ht="15.0" customHeight="1">
      <c r="A418" s="48" t="s">
        <v>568</v>
      </c>
      <c r="B418" s="40" t="s">
        <v>22</v>
      </c>
      <c r="C418" s="41">
        <v>24.0</v>
      </c>
      <c r="D418" s="33">
        <v>3.124480167026E12</v>
      </c>
      <c r="E418" s="42">
        <v>1.15</v>
      </c>
      <c r="F418" s="35">
        <v>27.6</v>
      </c>
      <c r="G418" s="36">
        <v>1.0</v>
      </c>
      <c r="H418" s="43">
        <f t="shared" si="116"/>
        <v>1.191666667</v>
      </c>
      <c r="I418" s="43">
        <f t="shared" si="117"/>
        <v>28.6</v>
      </c>
      <c r="J418" s="37"/>
      <c r="K418" s="45">
        <f t="shared" si="118"/>
        <v>0</v>
      </c>
    </row>
    <row r="419" ht="15.0" customHeight="1">
      <c r="A419" s="48" t="s">
        <v>569</v>
      </c>
      <c r="B419" s="40" t="s">
        <v>22</v>
      </c>
      <c r="C419" s="41">
        <v>24.0</v>
      </c>
      <c r="D419" s="33">
        <v>3.12448016717E12</v>
      </c>
      <c r="E419" s="42">
        <v>1.05</v>
      </c>
      <c r="F419" s="35">
        <v>25.2</v>
      </c>
      <c r="G419" s="36">
        <v>1.0</v>
      </c>
      <c r="H419" s="43">
        <f t="shared" si="116"/>
        <v>1.091666667</v>
      </c>
      <c r="I419" s="43">
        <f t="shared" si="117"/>
        <v>26.2</v>
      </c>
      <c r="J419" s="37"/>
      <c r="K419" s="45">
        <f t="shared" si="118"/>
        <v>0</v>
      </c>
    </row>
    <row r="420" ht="15.0" customHeight="1">
      <c r="A420" s="48" t="s">
        <v>570</v>
      </c>
      <c r="B420" s="40" t="s">
        <v>22</v>
      </c>
      <c r="C420" s="41">
        <v>24.0</v>
      </c>
      <c r="D420" s="33">
        <v>3.124480167064E12</v>
      </c>
      <c r="E420" s="42">
        <v>1.05</v>
      </c>
      <c r="F420" s="35">
        <v>25.2</v>
      </c>
      <c r="G420" s="36">
        <v>1.0</v>
      </c>
      <c r="H420" s="43">
        <f t="shared" si="116"/>
        <v>1.091666667</v>
      </c>
      <c r="I420" s="43">
        <f t="shared" si="117"/>
        <v>26.2</v>
      </c>
      <c r="J420" s="37"/>
      <c r="K420" s="45">
        <f t="shared" si="118"/>
        <v>0</v>
      </c>
    </row>
    <row r="421" ht="15.0" customHeight="1">
      <c r="A421" s="48" t="s">
        <v>571</v>
      </c>
      <c r="B421" s="40" t="s">
        <v>22</v>
      </c>
      <c r="C421" s="41">
        <v>24.0</v>
      </c>
      <c r="D421" s="33">
        <v>5.449000286192E12</v>
      </c>
      <c r="E421" s="42">
        <v>1.0</v>
      </c>
      <c r="F421" s="35">
        <v>24.0</v>
      </c>
      <c r="G421" s="36">
        <v>1.0</v>
      </c>
      <c r="H421" s="43">
        <f t="shared" si="116"/>
        <v>1.041666667</v>
      </c>
      <c r="I421" s="43">
        <f t="shared" si="117"/>
        <v>25</v>
      </c>
      <c r="J421" s="37"/>
      <c r="K421" s="45">
        <f t="shared" si="118"/>
        <v>0</v>
      </c>
    </row>
    <row r="422" ht="15.0" customHeight="1">
      <c r="A422" s="48" t="s">
        <v>572</v>
      </c>
      <c r="B422" s="40" t="s">
        <v>22</v>
      </c>
      <c r="C422" s="41">
        <v>24.0</v>
      </c>
      <c r="D422" s="33">
        <v>8.002270015328E12</v>
      </c>
      <c r="E422" s="42">
        <v>0.575</v>
      </c>
      <c r="F422" s="35">
        <v>13.8</v>
      </c>
      <c r="G422" s="36">
        <v>1.0</v>
      </c>
      <c r="H422" s="43">
        <f t="shared" si="116"/>
        <v>0.6166666667</v>
      </c>
      <c r="I422" s="43">
        <f t="shared" si="117"/>
        <v>14.8</v>
      </c>
      <c r="J422" s="37"/>
      <c r="K422" s="45">
        <f t="shared" si="118"/>
        <v>0</v>
      </c>
    </row>
    <row r="423" ht="15.0" customHeight="1">
      <c r="A423" s="53" t="s">
        <v>573</v>
      </c>
      <c r="B423" s="40" t="s">
        <v>22</v>
      </c>
      <c r="C423" s="41">
        <v>24.0</v>
      </c>
      <c r="D423" s="33">
        <v>8.445291617414E12</v>
      </c>
      <c r="E423" s="123">
        <v>0.75</v>
      </c>
      <c r="F423" s="35">
        <f t="shared" ref="F423:F425" si="119">E423*C423</f>
        <v>18</v>
      </c>
      <c r="G423" s="36">
        <v>1.0</v>
      </c>
      <c r="H423" s="43">
        <f t="shared" si="116"/>
        <v>0.7916666667</v>
      </c>
      <c r="I423" s="43">
        <f t="shared" si="117"/>
        <v>19</v>
      </c>
      <c r="J423" s="37"/>
      <c r="K423" s="45">
        <f t="shared" si="118"/>
        <v>0</v>
      </c>
    </row>
    <row r="424" ht="15.0" customHeight="1">
      <c r="A424" s="53" t="s">
        <v>574</v>
      </c>
      <c r="B424" s="40" t="s">
        <v>22</v>
      </c>
      <c r="C424" s="41">
        <v>24.0</v>
      </c>
      <c r="D424" s="33">
        <v>8.445291599635E12</v>
      </c>
      <c r="E424" s="123">
        <v>0.75</v>
      </c>
      <c r="F424" s="35">
        <f t="shared" si="119"/>
        <v>18</v>
      </c>
      <c r="G424" s="36">
        <v>1.0</v>
      </c>
      <c r="H424" s="43">
        <f t="shared" si="116"/>
        <v>0.7916666667</v>
      </c>
      <c r="I424" s="43">
        <f t="shared" si="117"/>
        <v>19</v>
      </c>
      <c r="J424" s="37"/>
      <c r="K424" s="45">
        <f t="shared" si="118"/>
        <v>0</v>
      </c>
    </row>
    <row r="425" ht="15.0" customHeight="1">
      <c r="A425" s="53" t="s">
        <v>575</v>
      </c>
      <c r="B425" s="40" t="s">
        <v>22</v>
      </c>
      <c r="C425" s="41">
        <v>24.0</v>
      </c>
      <c r="D425" s="33" t="s">
        <v>576</v>
      </c>
      <c r="E425" s="123">
        <v>0.625</v>
      </c>
      <c r="F425" s="35">
        <f t="shared" si="119"/>
        <v>15</v>
      </c>
      <c r="G425" s="36">
        <v>1.0</v>
      </c>
      <c r="H425" s="43">
        <f t="shared" si="116"/>
        <v>0.6666666667</v>
      </c>
      <c r="I425" s="43">
        <f t="shared" si="117"/>
        <v>16</v>
      </c>
      <c r="J425" s="37"/>
      <c r="K425" s="45">
        <f t="shared" si="118"/>
        <v>0</v>
      </c>
    </row>
    <row r="426" ht="15.0" customHeight="1">
      <c r="A426" s="48" t="s">
        <v>577</v>
      </c>
      <c r="B426" s="40" t="s">
        <v>22</v>
      </c>
      <c r="C426" s="41">
        <v>24.0</v>
      </c>
      <c r="D426" s="33" t="s">
        <v>578</v>
      </c>
      <c r="E426" s="123">
        <v>0.625</v>
      </c>
      <c r="F426" s="35">
        <v>15.0</v>
      </c>
      <c r="G426" s="36">
        <v>1.0</v>
      </c>
      <c r="H426" s="43">
        <f t="shared" si="116"/>
        <v>0.6666666667</v>
      </c>
      <c r="I426" s="43">
        <f t="shared" si="117"/>
        <v>16</v>
      </c>
      <c r="J426" s="37"/>
      <c r="K426" s="45">
        <f t="shared" si="118"/>
        <v>0</v>
      </c>
    </row>
    <row r="427" ht="15.0" customHeight="1">
      <c r="A427" s="48" t="s">
        <v>579</v>
      </c>
      <c r="B427" s="40" t="s">
        <v>22</v>
      </c>
      <c r="C427" s="41">
        <v>24.0</v>
      </c>
      <c r="D427" s="33" t="s">
        <v>580</v>
      </c>
      <c r="E427" s="123">
        <v>0.625</v>
      </c>
      <c r="F427" s="35">
        <v>15.0</v>
      </c>
      <c r="G427" s="36">
        <v>1.0</v>
      </c>
      <c r="H427" s="43">
        <f t="shared" si="116"/>
        <v>0.6666666667</v>
      </c>
      <c r="I427" s="43">
        <f t="shared" si="117"/>
        <v>16</v>
      </c>
      <c r="J427" s="37"/>
      <c r="K427" s="45">
        <f t="shared" si="118"/>
        <v>0</v>
      </c>
    </row>
    <row r="428" ht="15.0" customHeight="1">
      <c r="A428" s="48" t="s">
        <v>581</v>
      </c>
      <c r="B428" s="40" t="s">
        <v>22</v>
      </c>
      <c r="C428" s="41">
        <v>24.0</v>
      </c>
      <c r="D428" s="33" t="s">
        <v>582</v>
      </c>
      <c r="E428" s="123">
        <v>0.625</v>
      </c>
      <c r="F428" s="35">
        <v>15.0</v>
      </c>
      <c r="G428" s="36">
        <v>1.0</v>
      </c>
      <c r="H428" s="43">
        <f t="shared" si="116"/>
        <v>0.6666666667</v>
      </c>
      <c r="I428" s="43">
        <f t="shared" si="117"/>
        <v>16</v>
      </c>
      <c r="J428" s="37"/>
      <c r="K428" s="45">
        <f t="shared" si="118"/>
        <v>0</v>
      </c>
    </row>
    <row r="429" ht="15.0" customHeight="1">
      <c r="A429" s="48" t="s">
        <v>583</v>
      </c>
      <c r="B429" s="40" t="s">
        <v>22</v>
      </c>
      <c r="C429" s="41">
        <v>24.0</v>
      </c>
      <c r="D429" s="33" t="s">
        <v>584</v>
      </c>
      <c r="E429" s="123">
        <v>0.625</v>
      </c>
      <c r="F429" s="35">
        <v>15.0</v>
      </c>
      <c r="G429" s="36">
        <v>1.0</v>
      </c>
      <c r="H429" s="43">
        <f t="shared" si="116"/>
        <v>0.6666666667</v>
      </c>
      <c r="I429" s="43">
        <f t="shared" si="117"/>
        <v>16</v>
      </c>
      <c r="J429" s="37"/>
      <c r="K429" s="45">
        <f t="shared" si="118"/>
        <v>0</v>
      </c>
    </row>
    <row r="430" ht="15.0" customHeight="1">
      <c r="A430" s="48" t="s">
        <v>585</v>
      </c>
      <c r="B430" s="40" t="s">
        <v>22</v>
      </c>
      <c r="C430" s="41">
        <v>24.0</v>
      </c>
      <c r="D430" s="33" t="s">
        <v>586</v>
      </c>
      <c r="E430" s="123">
        <v>0.625</v>
      </c>
      <c r="F430" s="35">
        <v>15.0</v>
      </c>
      <c r="G430" s="36">
        <v>1.0</v>
      </c>
      <c r="H430" s="43">
        <f t="shared" si="116"/>
        <v>0.6666666667</v>
      </c>
      <c r="I430" s="43">
        <f t="shared" si="117"/>
        <v>16</v>
      </c>
      <c r="J430" s="37"/>
      <c r="K430" s="45">
        <f t="shared" si="118"/>
        <v>0</v>
      </c>
    </row>
    <row r="431" ht="15.0" customHeight="1">
      <c r="A431" s="53" t="s">
        <v>587</v>
      </c>
      <c r="B431" s="58" t="s">
        <v>22</v>
      </c>
      <c r="C431" s="58">
        <v>24.0</v>
      </c>
      <c r="D431" s="119">
        <v>3.123349017984E12</v>
      </c>
      <c r="E431" s="56">
        <v>1.35</v>
      </c>
      <c r="F431" s="74">
        <f t="shared" ref="F431:F433" si="120">E431*C431</f>
        <v>32.4</v>
      </c>
      <c r="G431" s="36">
        <v>1.0</v>
      </c>
      <c r="H431" s="43">
        <f t="shared" si="116"/>
        <v>1.391666667</v>
      </c>
      <c r="I431" s="43">
        <f t="shared" si="117"/>
        <v>33.4</v>
      </c>
      <c r="J431" s="37"/>
      <c r="K431" s="45">
        <f t="shared" si="118"/>
        <v>0</v>
      </c>
    </row>
    <row r="432" ht="15.0" customHeight="1">
      <c r="A432" s="53" t="s">
        <v>588</v>
      </c>
      <c r="B432" s="58" t="s">
        <v>22</v>
      </c>
      <c r="C432" s="58">
        <v>24.0</v>
      </c>
      <c r="D432" s="119">
        <v>3.123349018103E12</v>
      </c>
      <c r="E432" s="56">
        <v>1.35</v>
      </c>
      <c r="F432" s="74">
        <f t="shared" si="120"/>
        <v>32.4</v>
      </c>
      <c r="G432" s="36">
        <v>1.0</v>
      </c>
      <c r="H432" s="43">
        <f t="shared" si="116"/>
        <v>1.391666667</v>
      </c>
      <c r="I432" s="43">
        <f t="shared" si="117"/>
        <v>33.4</v>
      </c>
      <c r="J432" s="37"/>
      <c r="K432" s="45">
        <f t="shared" si="118"/>
        <v>0</v>
      </c>
    </row>
    <row r="433" ht="15.0" customHeight="1">
      <c r="A433" s="53" t="s">
        <v>589</v>
      </c>
      <c r="B433" s="58" t="s">
        <v>22</v>
      </c>
      <c r="C433" s="58">
        <v>24.0</v>
      </c>
      <c r="D433" s="119">
        <v>3.123349018042E12</v>
      </c>
      <c r="E433" s="56">
        <v>1.35</v>
      </c>
      <c r="F433" s="74">
        <f t="shared" si="120"/>
        <v>32.4</v>
      </c>
      <c r="G433" s="36">
        <v>1.0</v>
      </c>
      <c r="H433" s="43">
        <f t="shared" si="116"/>
        <v>1.391666667</v>
      </c>
      <c r="I433" s="43">
        <f t="shared" si="117"/>
        <v>33.4</v>
      </c>
      <c r="J433" s="37"/>
      <c r="K433" s="45">
        <f t="shared" si="118"/>
        <v>0</v>
      </c>
    </row>
    <row r="434" ht="15.0" customHeight="1">
      <c r="A434" s="39" t="s">
        <v>590</v>
      </c>
      <c r="B434" s="40" t="s">
        <v>22</v>
      </c>
      <c r="C434" s="41">
        <v>24.0</v>
      </c>
      <c r="D434" s="33">
        <v>3.124480168818E12</v>
      </c>
      <c r="E434" s="42">
        <v>1.1</v>
      </c>
      <c r="F434" s="35">
        <v>26.4</v>
      </c>
      <c r="G434" s="36">
        <v>1.0</v>
      </c>
      <c r="H434" s="43">
        <f t="shared" si="116"/>
        <v>1.141666667</v>
      </c>
      <c r="I434" s="43">
        <f t="shared" si="117"/>
        <v>27.4</v>
      </c>
      <c r="J434" s="37"/>
      <c r="K434" s="45">
        <f t="shared" si="118"/>
        <v>0</v>
      </c>
    </row>
    <row r="435" ht="15.0" customHeight="1">
      <c r="A435" s="39" t="s">
        <v>591</v>
      </c>
      <c r="B435" s="40" t="s">
        <v>22</v>
      </c>
      <c r="C435" s="41">
        <v>24.0</v>
      </c>
      <c r="D435" s="33">
        <v>3.124480177933E12</v>
      </c>
      <c r="E435" s="42">
        <v>1.1</v>
      </c>
      <c r="F435" s="35">
        <v>26.4</v>
      </c>
      <c r="G435" s="36">
        <v>1.0</v>
      </c>
      <c r="H435" s="43">
        <f t="shared" si="116"/>
        <v>1.141666667</v>
      </c>
      <c r="I435" s="43">
        <f t="shared" si="117"/>
        <v>27.4</v>
      </c>
      <c r="J435" s="37"/>
      <c r="K435" s="45">
        <f t="shared" si="118"/>
        <v>0</v>
      </c>
    </row>
    <row r="436" ht="15.0" customHeight="1">
      <c r="A436" s="39" t="s">
        <v>592</v>
      </c>
      <c r="B436" s="40" t="s">
        <v>22</v>
      </c>
      <c r="C436" s="41">
        <v>24.0</v>
      </c>
      <c r="D436" s="33">
        <v>3.124480167057E12</v>
      </c>
      <c r="E436" s="42">
        <v>1.1</v>
      </c>
      <c r="F436" s="35">
        <v>26.4</v>
      </c>
      <c r="G436" s="36">
        <v>1.0</v>
      </c>
      <c r="H436" s="43">
        <f t="shared" si="116"/>
        <v>1.141666667</v>
      </c>
      <c r="I436" s="43">
        <f t="shared" si="117"/>
        <v>27.4</v>
      </c>
      <c r="J436" s="37"/>
      <c r="K436" s="45">
        <f t="shared" si="118"/>
        <v>0</v>
      </c>
    </row>
    <row r="437" ht="15.0" customHeight="1">
      <c r="A437" s="39" t="s">
        <v>593</v>
      </c>
      <c r="B437" s="40" t="s">
        <v>22</v>
      </c>
      <c r="C437" s="41">
        <v>24.0</v>
      </c>
      <c r="D437" s="33">
        <v>3.124480196798E12</v>
      </c>
      <c r="E437" s="42">
        <v>1.05</v>
      </c>
      <c r="F437" s="35">
        <v>25.2</v>
      </c>
      <c r="G437" s="36">
        <v>1.0</v>
      </c>
      <c r="H437" s="43">
        <f t="shared" si="116"/>
        <v>1.091666667</v>
      </c>
      <c r="I437" s="43">
        <f t="shared" si="117"/>
        <v>26.2</v>
      </c>
      <c r="J437" s="37"/>
      <c r="K437" s="45">
        <f t="shared" si="118"/>
        <v>0</v>
      </c>
    </row>
    <row r="438" ht="15.0" customHeight="1">
      <c r="A438" s="39" t="s">
        <v>594</v>
      </c>
      <c r="B438" s="40" t="s">
        <v>559</v>
      </c>
      <c r="C438" s="41">
        <v>24.0</v>
      </c>
      <c r="D438" s="33">
        <v>5.449000321077E12</v>
      </c>
      <c r="E438" s="42">
        <v>0.95</v>
      </c>
      <c r="F438" s="35">
        <v>22.8</v>
      </c>
      <c r="G438" s="36">
        <v>1.0</v>
      </c>
      <c r="H438" s="43">
        <f t="shared" si="116"/>
        <v>0.9916666667</v>
      </c>
      <c r="I438" s="43">
        <f t="shared" si="117"/>
        <v>23.8</v>
      </c>
      <c r="J438" s="37"/>
      <c r="K438" s="45">
        <f t="shared" si="118"/>
        <v>0</v>
      </c>
    </row>
    <row r="439" ht="15.0" customHeight="1">
      <c r="A439" s="39" t="s">
        <v>595</v>
      </c>
      <c r="B439" s="40" t="s">
        <v>559</v>
      </c>
      <c r="C439" s="41">
        <v>24.0</v>
      </c>
      <c r="D439" s="33">
        <v>5.449000321145E12</v>
      </c>
      <c r="E439" s="42">
        <v>0.95</v>
      </c>
      <c r="F439" s="35">
        <v>22.8</v>
      </c>
      <c r="G439" s="36">
        <v>1.0</v>
      </c>
      <c r="H439" s="43">
        <f t="shared" si="116"/>
        <v>0.9916666667</v>
      </c>
      <c r="I439" s="43">
        <f t="shared" si="117"/>
        <v>23.8</v>
      </c>
      <c r="J439" s="37"/>
      <c r="K439" s="45">
        <f t="shared" si="118"/>
        <v>0</v>
      </c>
    </row>
    <row r="440" ht="15.0" customHeight="1">
      <c r="A440" s="39" t="s">
        <v>596</v>
      </c>
      <c r="B440" s="40" t="s">
        <v>597</v>
      </c>
      <c r="C440" s="41">
        <v>24.0</v>
      </c>
      <c r="D440" s="33">
        <v>3.551720042773E12</v>
      </c>
      <c r="E440" s="42">
        <v>1.09</v>
      </c>
      <c r="F440" s="35">
        <v>26.16</v>
      </c>
      <c r="G440" s="36">
        <v>1.0</v>
      </c>
      <c r="H440" s="43">
        <f t="shared" si="116"/>
        <v>1.131666667</v>
      </c>
      <c r="I440" s="43">
        <f t="shared" si="117"/>
        <v>27.16</v>
      </c>
      <c r="J440" s="37"/>
      <c r="K440" s="45">
        <f t="shared" si="118"/>
        <v>0</v>
      </c>
    </row>
    <row r="441" ht="15.0" customHeight="1">
      <c r="A441" s="39" t="s">
        <v>598</v>
      </c>
      <c r="B441" s="40" t="s">
        <v>597</v>
      </c>
      <c r="C441" s="41">
        <v>24.0</v>
      </c>
      <c r="D441" s="33">
        <v>3.551720204935E12</v>
      </c>
      <c r="E441" s="42">
        <v>1.09</v>
      </c>
      <c r="F441" s="35">
        <v>26.16</v>
      </c>
      <c r="G441" s="36">
        <v>1.0</v>
      </c>
      <c r="H441" s="43">
        <f t="shared" si="116"/>
        <v>1.131666667</v>
      </c>
      <c r="I441" s="43">
        <f t="shared" si="117"/>
        <v>27.16</v>
      </c>
      <c r="J441" s="37"/>
      <c r="K441" s="45">
        <f t="shared" si="118"/>
        <v>0</v>
      </c>
    </row>
    <row r="442" ht="15.0" customHeight="1">
      <c r="A442" s="39" t="s">
        <v>599</v>
      </c>
      <c r="B442" s="40" t="s">
        <v>597</v>
      </c>
      <c r="C442" s="41">
        <v>24.0</v>
      </c>
      <c r="D442" s="33">
        <v>3.551720026353E12</v>
      </c>
      <c r="E442" s="42">
        <v>1.09</v>
      </c>
      <c r="F442" s="35">
        <v>26.16</v>
      </c>
      <c r="G442" s="36">
        <v>1.0</v>
      </c>
      <c r="H442" s="43">
        <f t="shared" si="116"/>
        <v>1.131666667</v>
      </c>
      <c r="I442" s="43">
        <f t="shared" si="117"/>
        <v>27.16</v>
      </c>
      <c r="J442" s="37"/>
      <c r="K442" s="45">
        <f t="shared" si="118"/>
        <v>0</v>
      </c>
    </row>
    <row r="443" ht="15.0" customHeight="1">
      <c r="A443" s="39" t="s">
        <v>600</v>
      </c>
      <c r="B443" s="40" t="s">
        <v>597</v>
      </c>
      <c r="C443" s="41">
        <v>24.0</v>
      </c>
      <c r="D443" s="33">
        <v>3.551720026841E12</v>
      </c>
      <c r="E443" s="42">
        <v>1.09</v>
      </c>
      <c r="F443" s="35">
        <v>26.16</v>
      </c>
      <c r="G443" s="36">
        <v>1.0</v>
      </c>
      <c r="H443" s="43">
        <f t="shared" si="116"/>
        <v>1.131666667</v>
      </c>
      <c r="I443" s="43">
        <f t="shared" si="117"/>
        <v>27.16</v>
      </c>
      <c r="J443" s="37"/>
      <c r="K443" s="45">
        <f t="shared" si="118"/>
        <v>0</v>
      </c>
    </row>
    <row r="444" ht="15.0" customHeight="1">
      <c r="A444" s="39" t="s">
        <v>601</v>
      </c>
      <c r="B444" s="40" t="s">
        <v>597</v>
      </c>
      <c r="C444" s="41">
        <v>24.0</v>
      </c>
      <c r="D444" s="33">
        <v>3.551720207646E12</v>
      </c>
      <c r="E444" s="42">
        <v>1.09</v>
      </c>
      <c r="F444" s="35">
        <v>26.16</v>
      </c>
      <c r="G444" s="36">
        <v>1.0</v>
      </c>
      <c r="H444" s="43">
        <f t="shared" si="116"/>
        <v>1.131666667</v>
      </c>
      <c r="I444" s="43">
        <f t="shared" si="117"/>
        <v>27.16</v>
      </c>
      <c r="J444" s="37"/>
      <c r="K444" s="45">
        <f t="shared" si="118"/>
        <v>0</v>
      </c>
    </row>
    <row r="445" ht="15.0" customHeight="1">
      <c r="A445" s="39" t="s">
        <v>602</v>
      </c>
      <c r="B445" s="40" t="s">
        <v>597</v>
      </c>
      <c r="C445" s="41">
        <v>24.0</v>
      </c>
      <c r="D445" s="33">
        <v>3.551720207653E12</v>
      </c>
      <c r="E445" s="42">
        <v>1.09</v>
      </c>
      <c r="F445" s="35">
        <v>26.16</v>
      </c>
      <c r="G445" s="36">
        <v>1.0</v>
      </c>
      <c r="H445" s="43">
        <f t="shared" si="116"/>
        <v>1.131666667</v>
      </c>
      <c r="I445" s="43">
        <f t="shared" si="117"/>
        <v>27.16</v>
      </c>
      <c r="J445" s="37"/>
      <c r="K445" s="45">
        <f t="shared" si="118"/>
        <v>0</v>
      </c>
    </row>
    <row r="446" ht="15.0" customHeight="1">
      <c r="A446" s="39" t="s">
        <v>603</v>
      </c>
      <c r="B446" s="40" t="s">
        <v>22</v>
      </c>
      <c r="C446" s="41">
        <v>24.0</v>
      </c>
      <c r="D446" s="33">
        <v>8.718226322029E12</v>
      </c>
      <c r="E446" s="42">
        <v>1.35</v>
      </c>
      <c r="F446" s="35">
        <v>32.4</v>
      </c>
      <c r="G446" s="36">
        <v>2.0</v>
      </c>
      <c r="H446" s="43">
        <f t="shared" si="116"/>
        <v>1.433333333</v>
      </c>
      <c r="I446" s="43">
        <f t="shared" si="117"/>
        <v>34.4</v>
      </c>
      <c r="J446" s="37"/>
      <c r="K446" s="45">
        <f t="shared" si="118"/>
        <v>0</v>
      </c>
    </row>
    <row r="447" ht="15.0" customHeight="1">
      <c r="A447" s="39" t="s">
        <v>604</v>
      </c>
      <c r="B447" s="40" t="s">
        <v>22</v>
      </c>
      <c r="C447" s="41">
        <v>24.0</v>
      </c>
      <c r="D447" s="33">
        <v>8.718226322005E12</v>
      </c>
      <c r="E447" s="42">
        <v>1.35</v>
      </c>
      <c r="F447" s="35">
        <v>32.4</v>
      </c>
      <c r="G447" s="36">
        <v>2.0</v>
      </c>
      <c r="H447" s="43">
        <f t="shared" si="116"/>
        <v>1.433333333</v>
      </c>
      <c r="I447" s="43">
        <f t="shared" si="117"/>
        <v>34.4</v>
      </c>
      <c r="J447" s="37"/>
      <c r="K447" s="45">
        <f t="shared" si="118"/>
        <v>0</v>
      </c>
    </row>
    <row r="448" ht="15.0" customHeight="1">
      <c r="A448" s="39" t="s">
        <v>605</v>
      </c>
      <c r="B448" s="40" t="s">
        <v>22</v>
      </c>
      <c r="C448" s="41">
        <v>24.0</v>
      </c>
      <c r="D448" s="33">
        <v>8.718226322036E12</v>
      </c>
      <c r="E448" s="42">
        <v>1.35</v>
      </c>
      <c r="F448" s="35">
        <v>32.4</v>
      </c>
      <c r="G448" s="36">
        <v>2.0</v>
      </c>
      <c r="H448" s="43">
        <f t="shared" si="116"/>
        <v>1.433333333</v>
      </c>
      <c r="I448" s="43">
        <f t="shared" si="117"/>
        <v>34.4</v>
      </c>
      <c r="J448" s="37"/>
      <c r="K448" s="45">
        <f t="shared" si="118"/>
        <v>0</v>
      </c>
    </row>
    <row r="449" ht="15.0" customHeight="1">
      <c r="A449" s="39" t="s">
        <v>606</v>
      </c>
      <c r="B449" s="40" t="s">
        <v>22</v>
      </c>
      <c r="C449" s="41">
        <v>24.0</v>
      </c>
      <c r="D449" s="33">
        <v>8.718226322012E12</v>
      </c>
      <c r="E449" s="42">
        <v>1.35</v>
      </c>
      <c r="F449" s="35">
        <v>32.4</v>
      </c>
      <c r="G449" s="36">
        <v>2.0</v>
      </c>
      <c r="H449" s="43">
        <f t="shared" si="116"/>
        <v>1.433333333</v>
      </c>
      <c r="I449" s="43">
        <f t="shared" si="117"/>
        <v>34.4</v>
      </c>
      <c r="J449" s="37"/>
      <c r="K449" s="45">
        <f t="shared" si="118"/>
        <v>0</v>
      </c>
    </row>
    <row r="450" ht="15.0" customHeight="1">
      <c r="A450" s="124" t="s">
        <v>607</v>
      </c>
      <c r="B450" s="125"/>
      <c r="C450" s="103"/>
      <c r="D450" s="126"/>
      <c r="E450" s="34"/>
      <c r="F450" s="127"/>
      <c r="G450" s="36"/>
      <c r="H450" s="43"/>
      <c r="I450" s="43"/>
      <c r="J450" s="47"/>
      <c r="K450" s="45"/>
    </row>
    <row r="451" ht="15.0" customHeight="1">
      <c r="A451" s="30" t="s">
        <v>608</v>
      </c>
      <c r="B451" s="31"/>
      <c r="C451" s="32"/>
      <c r="D451" s="33"/>
      <c r="E451" s="34"/>
      <c r="F451" s="35"/>
      <c r="G451" s="36"/>
      <c r="H451" s="43"/>
      <c r="I451" s="43"/>
      <c r="J451" s="37"/>
      <c r="K451" s="45"/>
    </row>
    <row r="452" ht="15.0" customHeight="1">
      <c r="A452" s="39" t="s">
        <v>609</v>
      </c>
      <c r="B452" s="40" t="s">
        <v>22</v>
      </c>
      <c r="C452" s="41">
        <v>12.0</v>
      </c>
      <c r="D452" s="33">
        <v>7.649989242426E12</v>
      </c>
      <c r="E452" s="42">
        <v>1.65</v>
      </c>
      <c r="F452" s="35">
        <v>19.8</v>
      </c>
      <c r="G452" s="36">
        <v>1.0</v>
      </c>
      <c r="H452" s="43">
        <f t="shared" ref="H452:H458" si="121">I452/C452</f>
        <v>1.733333333</v>
      </c>
      <c r="I452" s="43">
        <f t="shared" ref="I452:I458" si="122">F452+G452</f>
        <v>20.8</v>
      </c>
      <c r="J452" s="37"/>
      <c r="K452" s="45">
        <f t="shared" ref="K452:K458" si="123">I452*J452</f>
        <v>0</v>
      </c>
    </row>
    <row r="453" ht="15.0" customHeight="1">
      <c r="A453" s="39" t="s">
        <v>610</v>
      </c>
      <c r="B453" s="40" t="s">
        <v>22</v>
      </c>
      <c r="C453" s="41">
        <v>12.0</v>
      </c>
      <c r="D453" s="33">
        <v>7.640427571696E12</v>
      </c>
      <c r="E453" s="42">
        <v>1.65</v>
      </c>
      <c r="F453" s="35">
        <v>19.8</v>
      </c>
      <c r="G453" s="36">
        <v>1.0</v>
      </c>
      <c r="H453" s="43">
        <f t="shared" si="121"/>
        <v>1.733333333</v>
      </c>
      <c r="I453" s="43">
        <f t="shared" si="122"/>
        <v>20.8</v>
      </c>
      <c r="J453" s="37"/>
      <c r="K453" s="45">
        <f t="shared" si="123"/>
        <v>0</v>
      </c>
    </row>
    <row r="454" ht="15.0" customHeight="1">
      <c r="A454" s="39" t="s">
        <v>611</v>
      </c>
      <c r="B454" s="40" t="s">
        <v>22</v>
      </c>
      <c r="C454" s="41">
        <v>12.0</v>
      </c>
      <c r="D454" s="33">
        <v>7.649989242433E12</v>
      </c>
      <c r="E454" s="42">
        <v>1.65</v>
      </c>
      <c r="F454" s="35">
        <v>19.8</v>
      </c>
      <c r="G454" s="36">
        <v>1.0</v>
      </c>
      <c r="H454" s="43">
        <f t="shared" si="121"/>
        <v>1.733333333</v>
      </c>
      <c r="I454" s="43">
        <f t="shared" si="122"/>
        <v>20.8</v>
      </c>
      <c r="J454" s="37"/>
      <c r="K454" s="45">
        <f t="shared" si="123"/>
        <v>0</v>
      </c>
    </row>
    <row r="455" ht="15.0" customHeight="1">
      <c r="A455" s="39" t="s">
        <v>612</v>
      </c>
      <c r="B455" s="40" t="s">
        <v>22</v>
      </c>
      <c r="C455" s="41">
        <v>12.0</v>
      </c>
      <c r="D455" s="33">
        <v>7.640427572518E12</v>
      </c>
      <c r="E455" s="42">
        <v>1.65</v>
      </c>
      <c r="F455" s="35">
        <v>19.8</v>
      </c>
      <c r="G455" s="36">
        <v>1.0</v>
      </c>
      <c r="H455" s="43">
        <f t="shared" si="121"/>
        <v>1.733333333</v>
      </c>
      <c r="I455" s="43">
        <f t="shared" si="122"/>
        <v>20.8</v>
      </c>
      <c r="J455" s="37"/>
      <c r="K455" s="45">
        <f t="shared" si="123"/>
        <v>0</v>
      </c>
    </row>
    <row r="456" ht="15.0" customHeight="1">
      <c r="A456" s="53" t="s">
        <v>613</v>
      </c>
      <c r="B456" s="40" t="s">
        <v>22</v>
      </c>
      <c r="C456" s="100" t="s">
        <v>614</v>
      </c>
      <c r="D456" s="128">
        <v>7.640427573232E12</v>
      </c>
      <c r="E456" s="56">
        <v>1.65</v>
      </c>
      <c r="F456" s="74">
        <v>19.8</v>
      </c>
      <c r="G456" s="36">
        <v>1.0</v>
      </c>
      <c r="H456" s="43">
        <f t="shared" si="121"/>
        <v>1.733333333</v>
      </c>
      <c r="I456" s="43">
        <f t="shared" si="122"/>
        <v>20.8</v>
      </c>
      <c r="J456" s="37"/>
      <c r="K456" s="45">
        <f t="shared" si="123"/>
        <v>0</v>
      </c>
    </row>
    <row r="457" ht="15.0" customHeight="1">
      <c r="A457" s="52" t="s">
        <v>615</v>
      </c>
      <c r="B457" s="58" t="s">
        <v>22</v>
      </c>
      <c r="C457" s="58">
        <v>12.0</v>
      </c>
      <c r="D457" s="113">
        <v>7.64998924244E12</v>
      </c>
      <c r="E457" s="56">
        <v>1.65</v>
      </c>
      <c r="F457" s="74">
        <v>19.8</v>
      </c>
      <c r="G457" s="36">
        <v>1.0</v>
      </c>
      <c r="H457" s="43">
        <f t="shared" si="121"/>
        <v>1.733333333</v>
      </c>
      <c r="I457" s="43">
        <f t="shared" si="122"/>
        <v>20.8</v>
      </c>
      <c r="J457" s="37"/>
      <c r="K457" s="45">
        <f t="shared" si="123"/>
        <v>0</v>
      </c>
    </row>
    <row r="458" ht="15.0" customHeight="1">
      <c r="A458" s="48" t="s">
        <v>616</v>
      </c>
      <c r="B458" s="40" t="s">
        <v>22</v>
      </c>
      <c r="C458" s="41">
        <v>12.0</v>
      </c>
      <c r="D458" s="129">
        <v>7.64042757439E12</v>
      </c>
      <c r="E458" s="42">
        <v>1.65</v>
      </c>
      <c r="F458" s="35">
        <v>19.8</v>
      </c>
      <c r="G458" s="36">
        <v>1.0</v>
      </c>
      <c r="H458" s="43">
        <f t="shared" si="121"/>
        <v>1.733333333</v>
      </c>
      <c r="I458" s="43">
        <f t="shared" si="122"/>
        <v>20.8</v>
      </c>
      <c r="J458" s="37"/>
      <c r="K458" s="45">
        <f t="shared" si="123"/>
        <v>0</v>
      </c>
    </row>
    <row r="459" ht="15.0" customHeight="1">
      <c r="A459" s="49" t="s">
        <v>617</v>
      </c>
      <c r="B459" s="31"/>
      <c r="C459" s="32"/>
      <c r="D459" s="33"/>
      <c r="E459" s="34"/>
      <c r="F459" s="35"/>
      <c r="G459" s="36"/>
      <c r="H459" s="43"/>
      <c r="I459" s="43"/>
      <c r="J459" s="37"/>
      <c r="K459" s="45"/>
    </row>
    <row r="460" ht="15.0" customHeight="1">
      <c r="A460" s="48" t="s">
        <v>618</v>
      </c>
      <c r="B460" s="40" t="s">
        <v>22</v>
      </c>
      <c r="C460" s="41">
        <v>12.0</v>
      </c>
      <c r="D460" s="33" t="s">
        <v>619</v>
      </c>
      <c r="E460" s="42">
        <v>1.19</v>
      </c>
      <c r="F460" s="35">
        <v>14.28</v>
      </c>
      <c r="G460" s="36">
        <v>1.0</v>
      </c>
      <c r="H460" s="43">
        <f t="shared" ref="H460:H463" si="124">I460/C460</f>
        <v>1.273333333</v>
      </c>
      <c r="I460" s="43">
        <f t="shared" ref="I460:I463" si="125">F460+G460</f>
        <v>15.28</v>
      </c>
      <c r="J460" s="37"/>
      <c r="K460" s="45">
        <f t="shared" ref="K460:K463" si="126">I460*J460</f>
        <v>0</v>
      </c>
    </row>
    <row r="461" ht="15.0" customHeight="1">
      <c r="A461" s="48" t="s">
        <v>620</v>
      </c>
      <c r="B461" s="40" t="s">
        <v>22</v>
      </c>
      <c r="C461" s="41">
        <v>12.0</v>
      </c>
      <c r="D461" s="33" t="s">
        <v>621</v>
      </c>
      <c r="E461" s="42">
        <v>1.19</v>
      </c>
      <c r="F461" s="35">
        <v>14.28</v>
      </c>
      <c r="G461" s="36">
        <v>1.0</v>
      </c>
      <c r="H461" s="43">
        <f t="shared" si="124"/>
        <v>1.273333333</v>
      </c>
      <c r="I461" s="43">
        <f t="shared" si="125"/>
        <v>15.28</v>
      </c>
      <c r="J461" s="37"/>
      <c r="K461" s="45">
        <f t="shared" si="126"/>
        <v>0</v>
      </c>
    </row>
    <row r="462" ht="15.0" customHeight="1">
      <c r="A462" s="48" t="s">
        <v>622</v>
      </c>
      <c r="B462" s="40" t="s">
        <v>22</v>
      </c>
      <c r="C462" s="41">
        <v>12.0</v>
      </c>
      <c r="D462" s="33" t="s">
        <v>623</v>
      </c>
      <c r="E462" s="42">
        <v>1.19</v>
      </c>
      <c r="F462" s="35">
        <v>14.28</v>
      </c>
      <c r="G462" s="36">
        <v>1.0</v>
      </c>
      <c r="H462" s="43">
        <f t="shared" si="124"/>
        <v>1.273333333</v>
      </c>
      <c r="I462" s="43">
        <f t="shared" si="125"/>
        <v>15.28</v>
      </c>
      <c r="J462" s="37"/>
      <c r="K462" s="45">
        <f t="shared" si="126"/>
        <v>0</v>
      </c>
    </row>
    <row r="463" ht="15.0" customHeight="1">
      <c r="A463" s="48" t="s">
        <v>624</v>
      </c>
      <c r="B463" s="40" t="s">
        <v>22</v>
      </c>
      <c r="C463" s="41">
        <v>12.0</v>
      </c>
      <c r="D463" s="33" t="s">
        <v>625</v>
      </c>
      <c r="E463" s="42">
        <v>1.19</v>
      </c>
      <c r="F463" s="35">
        <v>14.28</v>
      </c>
      <c r="G463" s="36">
        <v>1.0</v>
      </c>
      <c r="H463" s="43">
        <f t="shared" si="124"/>
        <v>1.273333333</v>
      </c>
      <c r="I463" s="43">
        <f t="shared" si="125"/>
        <v>15.28</v>
      </c>
      <c r="J463" s="37"/>
      <c r="K463" s="45">
        <f t="shared" si="126"/>
        <v>0</v>
      </c>
    </row>
    <row r="464" ht="15.0" customHeight="1">
      <c r="A464" s="49" t="s">
        <v>626</v>
      </c>
      <c r="B464" s="31"/>
      <c r="C464" s="32"/>
      <c r="D464" s="33"/>
      <c r="E464" s="34"/>
      <c r="F464" s="35"/>
      <c r="G464" s="36"/>
      <c r="H464" s="43"/>
      <c r="I464" s="43"/>
      <c r="J464" s="37"/>
      <c r="K464" s="45"/>
    </row>
    <row r="465" ht="15.0" customHeight="1">
      <c r="A465" s="48" t="s">
        <v>627</v>
      </c>
      <c r="B465" s="40" t="s">
        <v>22</v>
      </c>
      <c r="C465" s="41">
        <v>12.0</v>
      </c>
      <c r="D465" s="33" t="s">
        <v>628</v>
      </c>
      <c r="E465" s="42">
        <v>1.65</v>
      </c>
      <c r="F465" s="35">
        <v>19.8</v>
      </c>
      <c r="G465" s="36">
        <v>1.0</v>
      </c>
      <c r="H465" s="43">
        <f t="shared" ref="H465:H469" si="127">I465/C465</f>
        <v>1.733333333</v>
      </c>
      <c r="I465" s="43">
        <f t="shared" ref="I465:I469" si="128">F465+G465</f>
        <v>20.8</v>
      </c>
      <c r="J465" s="37"/>
      <c r="K465" s="45">
        <f t="shared" ref="K465:K469" si="129">I465*J465</f>
        <v>0</v>
      </c>
    </row>
    <row r="466" ht="15.0" customHeight="1">
      <c r="A466" s="48" t="s">
        <v>629</v>
      </c>
      <c r="B466" s="40" t="s">
        <v>22</v>
      </c>
      <c r="C466" s="41">
        <v>12.0</v>
      </c>
      <c r="D466" s="33">
        <v>7.350042719204E12</v>
      </c>
      <c r="E466" s="42">
        <v>1.65</v>
      </c>
      <c r="F466" s="35">
        <v>19.8</v>
      </c>
      <c r="G466" s="36">
        <v>1.0</v>
      </c>
      <c r="H466" s="43">
        <f t="shared" si="127"/>
        <v>1.733333333</v>
      </c>
      <c r="I466" s="43">
        <f t="shared" si="128"/>
        <v>20.8</v>
      </c>
      <c r="J466" s="37"/>
      <c r="K466" s="45">
        <f t="shared" si="129"/>
        <v>0</v>
      </c>
    </row>
    <row r="467" ht="15.0" customHeight="1">
      <c r="A467" s="48" t="s">
        <v>630</v>
      </c>
      <c r="B467" s="40" t="s">
        <v>22</v>
      </c>
      <c r="C467" s="41">
        <v>12.0</v>
      </c>
      <c r="D467" s="33">
        <v>7.340222800716E12</v>
      </c>
      <c r="E467" s="42">
        <v>1.65</v>
      </c>
      <c r="F467" s="35">
        <v>19.8</v>
      </c>
      <c r="G467" s="36">
        <v>1.0</v>
      </c>
      <c r="H467" s="43">
        <f t="shared" si="127"/>
        <v>1.733333333</v>
      </c>
      <c r="I467" s="43">
        <f t="shared" si="128"/>
        <v>20.8</v>
      </c>
      <c r="J467" s="37"/>
      <c r="K467" s="45">
        <f t="shared" si="129"/>
        <v>0</v>
      </c>
    </row>
    <row r="468" ht="15.0" customHeight="1">
      <c r="A468" s="48" t="s">
        <v>631</v>
      </c>
      <c r="B468" s="40" t="s">
        <v>22</v>
      </c>
      <c r="C468" s="41">
        <v>12.0</v>
      </c>
      <c r="D468" s="33">
        <v>7.350042719532E12</v>
      </c>
      <c r="E468" s="42">
        <v>1.65</v>
      </c>
      <c r="F468" s="35">
        <v>19.8</v>
      </c>
      <c r="G468" s="36">
        <v>1.0</v>
      </c>
      <c r="H468" s="43">
        <f t="shared" si="127"/>
        <v>1.733333333</v>
      </c>
      <c r="I468" s="43">
        <f t="shared" si="128"/>
        <v>20.8</v>
      </c>
      <c r="J468" s="37"/>
      <c r="K468" s="45">
        <f t="shared" si="129"/>
        <v>0</v>
      </c>
    </row>
    <row r="469" ht="15.0" customHeight="1">
      <c r="A469" s="48" t="s">
        <v>632</v>
      </c>
      <c r="B469" s="40" t="s">
        <v>22</v>
      </c>
      <c r="C469" s="41">
        <v>12.0</v>
      </c>
      <c r="D469" s="33">
        <v>7.350042711505E12</v>
      </c>
      <c r="E469" s="42">
        <v>1.65</v>
      </c>
      <c r="F469" s="35">
        <v>19.8</v>
      </c>
      <c r="G469" s="36">
        <v>1.0</v>
      </c>
      <c r="H469" s="43">
        <f t="shared" si="127"/>
        <v>1.733333333</v>
      </c>
      <c r="I469" s="43">
        <f t="shared" si="128"/>
        <v>20.8</v>
      </c>
      <c r="J469" s="37"/>
      <c r="K469" s="45">
        <f t="shared" si="129"/>
        <v>0</v>
      </c>
    </row>
    <row r="470" ht="15.0" customHeight="1">
      <c r="A470" s="49" t="s">
        <v>633</v>
      </c>
      <c r="B470" s="31"/>
      <c r="C470" s="32"/>
      <c r="D470" s="33"/>
      <c r="E470" s="34"/>
      <c r="F470" s="35"/>
      <c r="G470" s="36"/>
      <c r="H470" s="43"/>
      <c r="I470" s="43"/>
      <c r="J470" s="37"/>
      <c r="K470" s="45"/>
    </row>
    <row r="471" ht="15.0" customHeight="1">
      <c r="A471" s="48" t="s">
        <v>634</v>
      </c>
      <c r="B471" s="40" t="s">
        <v>153</v>
      </c>
      <c r="C471" s="41">
        <v>24.0</v>
      </c>
      <c r="D471" s="33">
        <v>7.340131602746E12</v>
      </c>
      <c r="E471" s="42">
        <v>1.65</v>
      </c>
      <c r="F471" s="35">
        <v>39.6</v>
      </c>
      <c r="G471" s="36">
        <v>1.0</v>
      </c>
      <c r="H471" s="43">
        <f t="shared" ref="H471:H476" si="130">I471/C471</f>
        <v>1.691666667</v>
      </c>
      <c r="I471" s="43">
        <f t="shared" ref="I471:I476" si="131">F471+G471</f>
        <v>40.6</v>
      </c>
      <c r="J471" s="37"/>
      <c r="K471" s="45">
        <f t="shared" ref="K471:K476" si="132">I471*J471</f>
        <v>0</v>
      </c>
    </row>
    <row r="472" ht="15.0" customHeight="1">
      <c r="A472" s="48" t="s">
        <v>635</v>
      </c>
      <c r="B472" s="40" t="s">
        <v>153</v>
      </c>
      <c r="C472" s="41">
        <v>24.0</v>
      </c>
      <c r="D472" s="33">
        <v>7.340131603637E12</v>
      </c>
      <c r="E472" s="42">
        <v>1.65</v>
      </c>
      <c r="F472" s="35">
        <v>39.6</v>
      </c>
      <c r="G472" s="36">
        <v>1.0</v>
      </c>
      <c r="H472" s="43">
        <f t="shared" si="130"/>
        <v>1.691666667</v>
      </c>
      <c r="I472" s="43">
        <f t="shared" si="131"/>
        <v>40.6</v>
      </c>
      <c r="J472" s="37"/>
      <c r="K472" s="45">
        <f t="shared" si="132"/>
        <v>0</v>
      </c>
    </row>
    <row r="473" ht="15.0" customHeight="1">
      <c r="A473" s="69" t="s">
        <v>636</v>
      </c>
      <c r="B473" s="40" t="s">
        <v>153</v>
      </c>
      <c r="C473" s="41">
        <v>24.0</v>
      </c>
      <c r="D473" s="70">
        <v>7.340131606409E12</v>
      </c>
      <c r="E473" s="71">
        <v>1.65</v>
      </c>
      <c r="F473" s="57">
        <f>C473*E473</f>
        <v>39.6</v>
      </c>
      <c r="G473" s="36">
        <v>1.0</v>
      </c>
      <c r="H473" s="43">
        <f t="shared" si="130"/>
        <v>1.691666667</v>
      </c>
      <c r="I473" s="43">
        <f t="shared" si="131"/>
        <v>40.6</v>
      </c>
      <c r="J473" s="37"/>
      <c r="K473" s="45">
        <f t="shared" si="132"/>
        <v>0</v>
      </c>
    </row>
    <row r="474" ht="15.0" customHeight="1">
      <c r="A474" s="48" t="s">
        <v>637</v>
      </c>
      <c r="B474" s="40" t="s">
        <v>153</v>
      </c>
      <c r="C474" s="41">
        <v>24.0</v>
      </c>
      <c r="D474" s="33">
        <v>7.340131601879E12</v>
      </c>
      <c r="E474" s="42">
        <v>1.65</v>
      </c>
      <c r="F474" s="35">
        <v>39.6</v>
      </c>
      <c r="G474" s="36">
        <v>1.0</v>
      </c>
      <c r="H474" s="43">
        <f t="shared" si="130"/>
        <v>1.691666667</v>
      </c>
      <c r="I474" s="43">
        <f t="shared" si="131"/>
        <v>40.6</v>
      </c>
      <c r="J474" s="37"/>
      <c r="K474" s="45">
        <f t="shared" si="132"/>
        <v>0</v>
      </c>
    </row>
    <row r="475" ht="15.0" customHeight="1">
      <c r="A475" s="48" t="s">
        <v>638</v>
      </c>
      <c r="B475" s="40" t="s">
        <v>153</v>
      </c>
      <c r="C475" s="41">
        <v>24.0</v>
      </c>
      <c r="D475" s="33">
        <v>7.340131605433E12</v>
      </c>
      <c r="E475" s="42">
        <v>1.65</v>
      </c>
      <c r="F475" s="35">
        <v>39.6</v>
      </c>
      <c r="G475" s="36">
        <v>1.0</v>
      </c>
      <c r="H475" s="43">
        <f t="shared" si="130"/>
        <v>1.691666667</v>
      </c>
      <c r="I475" s="43">
        <f t="shared" si="131"/>
        <v>40.6</v>
      </c>
      <c r="J475" s="37"/>
      <c r="K475" s="45">
        <f t="shared" si="132"/>
        <v>0</v>
      </c>
    </row>
    <row r="476" ht="15.0" customHeight="1">
      <c r="A476" s="48" t="s">
        <v>639</v>
      </c>
      <c r="B476" s="40" t="s">
        <v>153</v>
      </c>
      <c r="C476" s="41">
        <v>24.0</v>
      </c>
      <c r="D476" s="33">
        <v>7.34013160544E12</v>
      </c>
      <c r="E476" s="42">
        <v>1.65</v>
      </c>
      <c r="F476" s="35">
        <v>39.6</v>
      </c>
      <c r="G476" s="36">
        <v>1.0</v>
      </c>
      <c r="H476" s="43">
        <f t="shared" si="130"/>
        <v>1.691666667</v>
      </c>
      <c r="I476" s="43">
        <f t="shared" si="131"/>
        <v>40.6</v>
      </c>
      <c r="J476" s="37"/>
      <c r="K476" s="45">
        <f t="shared" si="132"/>
        <v>0</v>
      </c>
    </row>
    <row r="477" ht="15.0" customHeight="1">
      <c r="A477" s="130" t="s">
        <v>640</v>
      </c>
      <c r="B477" s="106"/>
      <c r="C477" s="107"/>
      <c r="D477" s="108"/>
      <c r="E477" s="34"/>
      <c r="F477" s="35"/>
      <c r="G477" s="36"/>
      <c r="H477" s="43"/>
      <c r="I477" s="43"/>
      <c r="J477" s="37"/>
      <c r="K477" s="45"/>
    </row>
    <row r="478" ht="15.0" customHeight="1">
      <c r="A478" s="48" t="s">
        <v>641</v>
      </c>
      <c r="B478" s="40" t="s">
        <v>642</v>
      </c>
      <c r="C478" s="41">
        <v>6.0</v>
      </c>
      <c r="D478" s="33">
        <v>5.449000028921E12</v>
      </c>
      <c r="E478" s="42">
        <v>1.45</v>
      </c>
      <c r="F478" s="35">
        <v>8.7</v>
      </c>
      <c r="G478" s="36">
        <v>1.0</v>
      </c>
      <c r="H478" s="43">
        <f t="shared" ref="H478:H511" si="133">I478/C478</f>
        <v>1.616666667</v>
      </c>
      <c r="I478" s="43">
        <f t="shared" ref="I478:I511" si="134">F478+G478</f>
        <v>9.7</v>
      </c>
      <c r="J478" s="37"/>
      <c r="K478" s="45">
        <f t="shared" ref="K478:K511" si="135">I478*J478</f>
        <v>0</v>
      </c>
    </row>
    <row r="479" ht="15.0" customHeight="1">
      <c r="A479" s="48" t="s">
        <v>643</v>
      </c>
      <c r="B479" s="40" t="s">
        <v>642</v>
      </c>
      <c r="C479" s="41">
        <v>6.0</v>
      </c>
      <c r="D479" s="33">
        <v>5.449000109255E12</v>
      </c>
      <c r="E479" s="42">
        <v>1.45</v>
      </c>
      <c r="F479" s="35">
        <v>8.7</v>
      </c>
      <c r="G479" s="36">
        <v>1.0</v>
      </c>
      <c r="H479" s="43">
        <f t="shared" si="133"/>
        <v>1.616666667</v>
      </c>
      <c r="I479" s="43">
        <f t="shared" si="134"/>
        <v>9.7</v>
      </c>
      <c r="J479" s="37"/>
      <c r="K479" s="45">
        <f t="shared" si="135"/>
        <v>0</v>
      </c>
    </row>
    <row r="480" ht="15.0" customHeight="1">
      <c r="A480" s="48" t="s">
        <v>644</v>
      </c>
      <c r="B480" s="40" t="s">
        <v>642</v>
      </c>
      <c r="C480" s="41">
        <v>6.0</v>
      </c>
      <c r="D480" s="33">
        <v>5.449000133724E12</v>
      </c>
      <c r="E480" s="42">
        <v>1.4</v>
      </c>
      <c r="F480" s="35">
        <v>8.4</v>
      </c>
      <c r="G480" s="36">
        <v>1.0</v>
      </c>
      <c r="H480" s="43">
        <f t="shared" si="133"/>
        <v>1.566666667</v>
      </c>
      <c r="I480" s="43">
        <f t="shared" si="134"/>
        <v>9.4</v>
      </c>
      <c r="J480" s="37"/>
      <c r="K480" s="45">
        <f t="shared" si="135"/>
        <v>0</v>
      </c>
    </row>
    <row r="481" ht="15.0" customHeight="1">
      <c r="A481" s="48" t="s">
        <v>645</v>
      </c>
      <c r="B481" s="40" t="s">
        <v>646</v>
      </c>
      <c r="C481" s="41">
        <v>6.0</v>
      </c>
      <c r="D481" s="33">
        <v>5.449000000439E12</v>
      </c>
      <c r="E481" s="42">
        <v>1.6</v>
      </c>
      <c r="F481" s="35">
        <v>9.6</v>
      </c>
      <c r="G481" s="36">
        <v>1.0</v>
      </c>
      <c r="H481" s="43">
        <f t="shared" si="133"/>
        <v>1.766666667</v>
      </c>
      <c r="I481" s="43">
        <f t="shared" si="134"/>
        <v>10.6</v>
      </c>
      <c r="J481" s="37"/>
      <c r="K481" s="45">
        <f t="shared" si="135"/>
        <v>0</v>
      </c>
    </row>
    <row r="482" ht="15.0" customHeight="1">
      <c r="A482" s="48" t="s">
        <v>647</v>
      </c>
      <c r="B482" s="40" t="s">
        <v>646</v>
      </c>
      <c r="C482" s="41">
        <v>6.0</v>
      </c>
      <c r="D482" s="33">
        <v>5.449000133335E12</v>
      </c>
      <c r="E482" s="42">
        <v>1.55</v>
      </c>
      <c r="F482" s="35">
        <v>9.3</v>
      </c>
      <c r="G482" s="36">
        <v>1.0</v>
      </c>
      <c r="H482" s="43">
        <f t="shared" si="133"/>
        <v>1.716666667</v>
      </c>
      <c r="I482" s="43">
        <f t="shared" si="134"/>
        <v>10.3</v>
      </c>
      <c r="J482" s="37"/>
      <c r="K482" s="45">
        <f t="shared" si="135"/>
        <v>0</v>
      </c>
    </row>
    <row r="483" ht="15.0" customHeight="1">
      <c r="A483" s="52" t="s">
        <v>648</v>
      </c>
      <c r="B483" s="58" t="s">
        <v>18</v>
      </c>
      <c r="C483" s="58">
        <v>6.0</v>
      </c>
      <c r="D483" s="115" t="s">
        <v>649</v>
      </c>
      <c r="E483" s="56">
        <v>1.95</v>
      </c>
      <c r="F483" s="74">
        <v>11.7</v>
      </c>
      <c r="G483" s="36">
        <v>1.0</v>
      </c>
      <c r="H483" s="43">
        <f t="shared" si="133"/>
        <v>2.116666667</v>
      </c>
      <c r="I483" s="43">
        <f t="shared" si="134"/>
        <v>12.7</v>
      </c>
      <c r="J483" s="37"/>
      <c r="K483" s="45">
        <f t="shared" si="135"/>
        <v>0</v>
      </c>
    </row>
    <row r="484" ht="15.0" customHeight="1">
      <c r="A484" s="52" t="s">
        <v>650</v>
      </c>
      <c r="B484" s="58" t="s">
        <v>18</v>
      </c>
      <c r="C484" s="58">
        <v>6.0</v>
      </c>
      <c r="D484" s="115" t="s">
        <v>651</v>
      </c>
      <c r="E484" s="56">
        <v>1.95</v>
      </c>
      <c r="F484" s="74">
        <v>11.7</v>
      </c>
      <c r="G484" s="36">
        <v>1.0</v>
      </c>
      <c r="H484" s="43">
        <f t="shared" si="133"/>
        <v>2.116666667</v>
      </c>
      <c r="I484" s="43">
        <f t="shared" si="134"/>
        <v>12.7</v>
      </c>
      <c r="J484" s="37"/>
      <c r="K484" s="45">
        <f t="shared" si="135"/>
        <v>0</v>
      </c>
    </row>
    <row r="485" ht="15.0" customHeight="1">
      <c r="A485" s="52" t="s">
        <v>652</v>
      </c>
      <c r="B485" s="58" t="s">
        <v>18</v>
      </c>
      <c r="C485" s="58">
        <v>6.0</v>
      </c>
      <c r="D485" s="115" t="s">
        <v>653</v>
      </c>
      <c r="E485" s="56">
        <v>1.95</v>
      </c>
      <c r="F485" s="74">
        <v>11.7</v>
      </c>
      <c r="G485" s="36">
        <v>1.0</v>
      </c>
      <c r="H485" s="43">
        <f t="shared" si="133"/>
        <v>2.116666667</v>
      </c>
      <c r="I485" s="43">
        <f t="shared" si="134"/>
        <v>12.7</v>
      </c>
      <c r="J485" s="37"/>
      <c r="K485" s="45">
        <f t="shared" si="135"/>
        <v>0</v>
      </c>
    </row>
    <row r="486" ht="15.0" customHeight="1">
      <c r="A486" s="39" t="s">
        <v>654</v>
      </c>
      <c r="B486" s="40" t="s">
        <v>642</v>
      </c>
      <c r="C486" s="41">
        <v>6.0</v>
      </c>
      <c r="D486" s="33">
        <v>5.44900023225E12</v>
      </c>
      <c r="E486" s="42">
        <v>1.75</v>
      </c>
      <c r="F486" s="35">
        <v>10.5</v>
      </c>
      <c r="G486" s="36">
        <v>1.0</v>
      </c>
      <c r="H486" s="43">
        <f t="shared" si="133"/>
        <v>1.916666667</v>
      </c>
      <c r="I486" s="43">
        <f t="shared" si="134"/>
        <v>11.5</v>
      </c>
      <c r="J486" s="37"/>
      <c r="K486" s="45">
        <f t="shared" si="135"/>
        <v>0</v>
      </c>
    </row>
    <row r="487" ht="15.0" customHeight="1">
      <c r="A487" s="131" t="s">
        <v>655</v>
      </c>
      <c r="B487" s="40" t="s">
        <v>642</v>
      </c>
      <c r="C487" s="41">
        <v>6.0</v>
      </c>
      <c r="D487" s="33">
        <v>3.168930170549E12</v>
      </c>
      <c r="E487" s="42">
        <v>1.55</v>
      </c>
      <c r="F487" s="35">
        <v>9.3</v>
      </c>
      <c r="G487" s="36">
        <v>1.0</v>
      </c>
      <c r="H487" s="43">
        <f t="shared" si="133"/>
        <v>1.716666667</v>
      </c>
      <c r="I487" s="43">
        <f t="shared" si="134"/>
        <v>10.3</v>
      </c>
      <c r="J487" s="37"/>
      <c r="K487" s="45">
        <f t="shared" si="135"/>
        <v>0</v>
      </c>
    </row>
    <row r="488" ht="15.0" customHeight="1">
      <c r="A488" s="131" t="s">
        <v>656</v>
      </c>
      <c r="B488" s="40" t="s">
        <v>642</v>
      </c>
      <c r="C488" s="41">
        <v>6.0</v>
      </c>
      <c r="D488" s="33">
        <v>3.168930170662E12</v>
      </c>
      <c r="E488" s="42">
        <v>1.55</v>
      </c>
      <c r="F488" s="35">
        <v>9.3</v>
      </c>
      <c r="G488" s="36">
        <v>1.0</v>
      </c>
      <c r="H488" s="43">
        <f t="shared" si="133"/>
        <v>1.716666667</v>
      </c>
      <c r="I488" s="43">
        <f t="shared" si="134"/>
        <v>10.3</v>
      </c>
      <c r="J488" s="37"/>
      <c r="K488" s="45">
        <f t="shared" si="135"/>
        <v>0</v>
      </c>
    </row>
    <row r="489" ht="15.0" customHeight="1">
      <c r="A489" s="131" t="s">
        <v>657</v>
      </c>
      <c r="B489" s="40" t="s">
        <v>642</v>
      </c>
      <c r="C489" s="41">
        <v>6.0</v>
      </c>
      <c r="D489" s="33">
        <v>3.168930170938E12</v>
      </c>
      <c r="E489" s="42">
        <v>1.55</v>
      </c>
      <c r="F489" s="35">
        <v>9.3</v>
      </c>
      <c r="G489" s="36">
        <v>1.0</v>
      </c>
      <c r="H489" s="43">
        <f t="shared" si="133"/>
        <v>1.716666667</v>
      </c>
      <c r="I489" s="43">
        <f t="shared" si="134"/>
        <v>10.3</v>
      </c>
      <c r="J489" s="37"/>
      <c r="K489" s="45">
        <f t="shared" si="135"/>
        <v>0</v>
      </c>
    </row>
    <row r="490" ht="15.0" customHeight="1">
      <c r="A490" s="131" t="s">
        <v>658</v>
      </c>
      <c r="B490" s="40" t="s">
        <v>642</v>
      </c>
      <c r="C490" s="41">
        <v>6.0</v>
      </c>
      <c r="D490" s="33">
        <v>3.168930170907E12</v>
      </c>
      <c r="E490" s="42">
        <v>1.55</v>
      </c>
      <c r="F490" s="35">
        <v>9.3</v>
      </c>
      <c r="G490" s="36">
        <v>1.0</v>
      </c>
      <c r="H490" s="43">
        <f t="shared" si="133"/>
        <v>1.716666667</v>
      </c>
      <c r="I490" s="43">
        <f t="shared" si="134"/>
        <v>10.3</v>
      </c>
      <c r="J490" s="37"/>
      <c r="K490" s="45">
        <f t="shared" si="135"/>
        <v>0</v>
      </c>
    </row>
    <row r="491" ht="15.0" customHeight="1">
      <c r="A491" s="131" t="s">
        <v>659</v>
      </c>
      <c r="B491" s="40" t="s">
        <v>642</v>
      </c>
      <c r="C491" s="41">
        <v>6.0</v>
      </c>
      <c r="D491" s="33">
        <v>3.168930170969E12</v>
      </c>
      <c r="E491" s="42">
        <v>1.55</v>
      </c>
      <c r="F491" s="35">
        <v>9.3</v>
      </c>
      <c r="G491" s="36">
        <v>1.0</v>
      </c>
      <c r="H491" s="43">
        <f t="shared" si="133"/>
        <v>1.716666667</v>
      </c>
      <c r="I491" s="43">
        <f t="shared" si="134"/>
        <v>10.3</v>
      </c>
      <c r="J491" s="37"/>
      <c r="K491" s="45">
        <f t="shared" si="135"/>
        <v>0</v>
      </c>
    </row>
    <row r="492" ht="15.0" customHeight="1">
      <c r="A492" s="39" t="s">
        <v>660</v>
      </c>
      <c r="B492" s="40" t="s">
        <v>661</v>
      </c>
      <c r="C492" s="41">
        <v>6.0</v>
      </c>
      <c r="D492" s="33">
        <v>3.124480183828E12</v>
      </c>
      <c r="E492" s="42">
        <v>2.15</v>
      </c>
      <c r="F492" s="35">
        <v>12.9</v>
      </c>
      <c r="G492" s="36">
        <v>1.0</v>
      </c>
      <c r="H492" s="43">
        <f t="shared" si="133"/>
        <v>2.316666667</v>
      </c>
      <c r="I492" s="43">
        <f t="shared" si="134"/>
        <v>13.9</v>
      </c>
      <c r="J492" s="37"/>
      <c r="K492" s="45">
        <f t="shared" si="135"/>
        <v>0</v>
      </c>
    </row>
    <row r="493" ht="15.0" customHeight="1">
      <c r="A493" s="39" t="s">
        <v>662</v>
      </c>
      <c r="B493" s="40" t="s">
        <v>642</v>
      </c>
      <c r="C493" s="41">
        <v>6.0</v>
      </c>
      <c r="D493" s="33">
        <v>5.44900032106E12</v>
      </c>
      <c r="E493" s="42">
        <v>1.8</v>
      </c>
      <c r="F493" s="35">
        <v>10.8</v>
      </c>
      <c r="G493" s="36">
        <v>1.0</v>
      </c>
      <c r="H493" s="43">
        <f t="shared" si="133"/>
        <v>1.966666667</v>
      </c>
      <c r="I493" s="43">
        <f t="shared" si="134"/>
        <v>11.8</v>
      </c>
      <c r="J493" s="37"/>
      <c r="K493" s="45">
        <f t="shared" si="135"/>
        <v>0</v>
      </c>
    </row>
    <row r="494" ht="15.0" customHeight="1">
      <c r="A494" s="39" t="s">
        <v>663</v>
      </c>
      <c r="B494" s="40" t="s">
        <v>642</v>
      </c>
      <c r="C494" s="41">
        <v>6.0</v>
      </c>
      <c r="D494" s="33">
        <v>5.449000321169E12</v>
      </c>
      <c r="E494" s="42">
        <v>1.8</v>
      </c>
      <c r="F494" s="35">
        <v>10.8</v>
      </c>
      <c r="G494" s="36">
        <v>1.0</v>
      </c>
      <c r="H494" s="43">
        <f t="shared" si="133"/>
        <v>1.966666667</v>
      </c>
      <c r="I494" s="43">
        <f t="shared" si="134"/>
        <v>11.8</v>
      </c>
      <c r="J494" s="37"/>
      <c r="K494" s="45">
        <f t="shared" si="135"/>
        <v>0</v>
      </c>
    </row>
    <row r="495" ht="15.0" customHeight="1">
      <c r="A495" s="39" t="s">
        <v>664</v>
      </c>
      <c r="B495" s="40" t="s">
        <v>642</v>
      </c>
      <c r="C495" s="41">
        <v>6.0</v>
      </c>
      <c r="D495" s="33">
        <v>3.551720205048E12</v>
      </c>
      <c r="E495" s="42">
        <v>1.35</v>
      </c>
      <c r="F495" s="35">
        <v>8.1</v>
      </c>
      <c r="G495" s="36">
        <v>0.5</v>
      </c>
      <c r="H495" s="43">
        <f t="shared" si="133"/>
        <v>1.433333333</v>
      </c>
      <c r="I495" s="43">
        <f t="shared" si="134"/>
        <v>8.6</v>
      </c>
      <c r="J495" s="37"/>
      <c r="K495" s="45">
        <f t="shared" si="135"/>
        <v>0</v>
      </c>
    </row>
    <row r="496" ht="15.0" customHeight="1">
      <c r="A496" s="39" t="s">
        <v>665</v>
      </c>
      <c r="B496" s="40" t="s">
        <v>18</v>
      </c>
      <c r="C496" s="41">
        <v>6.0</v>
      </c>
      <c r="D496" s="33">
        <v>3.551720207554E12</v>
      </c>
      <c r="E496" s="42">
        <v>2.05</v>
      </c>
      <c r="F496" s="35">
        <v>12.3</v>
      </c>
      <c r="G496" s="36">
        <v>0.5</v>
      </c>
      <c r="H496" s="43">
        <f t="shared" si="133"/>
        <v>2.133333333</v>
      </c>
      <c r="I496" s="43">
        <f t="shared" si="134"/>
        <v>12.8</v>
      </c>
      <c r="J496" s="37"/>
      <c r="K496" s="45">
        <f t="shared" si="135"/>
        <v>0</v>
      </c>
    </row>
    <row r="497" ht="15.0" customHeight="1">
      <c r="A497" s="39" t="s">
        <v>666</v>
      </c>
      <c r="B497" s="40" t="s">
        <v>18</v>
      </c>
      <c r="C497" s="41">
        <v>6.0</v>
      </c>
      <c r="D497" s="33">
        <v>3.55172020753E12</v>
      </c>
      <c r="E497" s="42">
        <v>2.05</v>
      </c>
      <c r="F497" s="35">
        <v>12.3</v>
      </c>
      <c r="G497" s="36">
        <v>1.0</v>
      </c>
      <c r="H497" s="43">
        <f t="shared" si="133"/>
        <v>2.216666667</v>
      </c>
      <c r="I497" s="43">
        <f t="shared" si="134"/>
        <v>13.3</v>
      </c>
      <c r="J497" s="37"/>
      <c r="K497" s="45">
        <f t="shared" si="135"/>
        <v>0</v>
      </c>
    </row>
    <row r="498" ht="15.0" customHeight="1">
      <c r="A498" s="39" t="s">
        <v>667</v>
      </c>
      <c r="B498" s="40" t="s">
        <v>18</v>
      </c>
      <c r="C498" s="41">
        <v>6.0</v>
      </c>
      <c r="D498" s="33">
        <v>7.613035833272E12</v>
      </c>
      <c r="E498" s="42">
        <v>0.7</v>
      </c>
      <c r="F498" s="35">
        <v>4.2</v>
      </c>
      <c r="G498" s="36">
        <v>0.5</v>
      </c>
      <c r="H498" s="43">
        <f t="shared" si="133"/>
        <v>0.7833333333</v>
      </c>
      <c r="I498" s="43">
        <f t="shared" si="134"/>
        <v>4.7</v>
      </c>
      <c r="J498" s="37"/>
      <c r="K498" s="45">
        <f t="shared" si="135"/>
        <v>0</v>
      </c>
    </row>
    <row r="499" ht="15.0" customHeight="1">
      <c r="A499" s="39" t="s">
        <v>668</v>
      </c>
      <c r="B499" s="40" t="s">
        <v>642</v>
      </c>
      <c r="C499" s="41">
        <v>6.0</v>
      </c>
      <c r="D499" s="33">
        <v>6.130093062853E12</v>
      </c>
      <c r="E499" s="42">
        <v>1.7</v>
      </c>
      <c r="F499" s="35">
        <v>10.2</v>
      </c>
      <c r="G499" s="36">
        <v>0.5</v>
      </c>
      <c r="H499" s="43">
        <f t="shared" si="133"/>
        <v>1.783333333</v>
      </c>
      <c r="I499" s="43">
        <f t="shared" si="134"/>
        <v>10.7</v>
      </c>
      <c r="J499" s="37"/>
      <c r="K499" s="45">
        <f t="shared" si="135"/>
        <v>0</v>
      </c>
    </row>
    <row r="500" ht="15.0" customHeight="1">
      <c r="A500" s="39" t="s">
        <v>669</v>
      </c>
      <c r="B500" s="40" t="s">
        <v>642</v>
      </c>
      <c r="C500" s="41">
        <v>6.0</v>
      </c>
      <c r="D500" s="33">
        <v>6.130093062846E12</v>
      </c>
      <c r="E500" s="42">
        <v>1.7</v>
      </c>
      <c r="F500" s="35">
        <v>10.2</v>
      </c>
      <c r="G500" s="36">
        <v>0.5</v>
      </c>
      <c r="H500" s="43">
        <f t="shared" si="133"/>
        <v>1.783333333</v>
      </c>
      <c r="I500" s="43">
        <f t="shared" si="134"/>
        <v>10.7</v>
      </c>
      <c r="J500" s="37"/>
      <c r="K500" s="45">
        <f t="shared" si="135"/>
        <v>0</v>
      </c>
    </row>
    <row r="501" ht="15.0" customHeight="1">
      <c r="A501" s="39" t="s">
        <v>670</v>
      </c>
      <c r="B501" s="40" t="s">
        <v>642</v>
      </c>
      <c r="C501" s="41">
        <v>6.0</v>
      </c>
      <c r="D501" s="33">
        <v>6.130093062792E12</v>
      </c>
      <c r="E501" s="42">
        <v>1.7</v>
      </c>
      <c r="F501" s="35">
        <v>10.2</v>
      </c>
      <c r="G501" s="36">
        <v>0.5</v>
      </c>
      <c r="H501" s="43">
        <f t="shared" si="133"/>
        <v>1.783333333</v>
      </c>
      <c r="I501" s="43">
        <f t="shared" si="134"/>
        <v>10.7</v>
      </c>
      <c r="J501" s="37"/>
      <c r="K501" s="45">
        <f t="shared" si="135"/>
        <v>0</v>
      </c>
    </row>
    <row r="502" ht="15.0" customHeight="1">
      <c r="A502" s="39" t="s">
        <v>671</v>
      </c>
      <c r="B502" s="40" t="s">
        <v>18</v>
      </c>
      <c r="C502" s="41">
        <v>6.0</v>
      </c>
      <c r="D502" s="33" t="s">
        <v>672</v>
      </c>
      <c r="E502" s="42">
        <v>1.55</v>
      </c>
      <c r="F502" s="35">
        <v>9.3</v>
      </c>
      <c r="G502" s="36">
        <v>1.0</v>
      </c>
      <c r="H502" s="43">
        <f t="shared" si="133"/>
        <v>1.716666667</v>
      </c>
      <c r="I502" s="43">
        <f t="shared" si="134"/>
        <v>10.3</v>
      </c>
      <c r="J502" s="37"/>
      <c r="K502" s="45">
        <f t="shared" si="135"/>
        <v>0</v>
      </c>
    </row>
    <row r="503" ht="15.0" customHeight="1">
      <c r="A503" s="39" t="s">
        <v>673</v>
      </c>
      <c r="B503" s="40" t="s">
        <v>18</v>
      </c>
      <c r="C503" s="41">
        <v>6.0</v>
      </c>
      <c r="D503" s="33" t="s">
        <v>674</v>
      </c>
      <c r="E503" s="42">
        <v>1.55</v>
      </c>
      <c r="F503" s="35">
        <v>9.3</v>
      </c>
      <c r="G503" s="36">
        <v>1.0</v>
      </c>
      <c r="H503" s="43">
        <f t="shared" si="133"/>
        <v>1.716666667</v>
      </c>
      <c r="I503" s="43">
        <f t="shared" si="134"/>
        <v>10.3</v>
      </c>
      <c r="J503" s="37"/>
      <c r="K503" s="45">
        <f t="shared" si="135"/>
        <v>0</v>
      </c>
    </row>
    <row r="504" ht="15.0" customHeight="1">
      <c r="A504" s="39" t="s">
        <v>675</v>
      </c>
      <c r="B504" s="40" t="s">
        <v>18</v>
      </c>
      <c r="C504" s="41">
        <v>6.0</v>
      </c>
      <c r="D504" s="33" t="s">
        <v>676</v>
      </c>
      <c r="E504" s="42">
        <v>1.55</v>
      </c>
      <c r="F504" s="35">
        <v>9.3</v>
      </c>
      <c r="G504" s="36">
        <v>1.0</v>
      </c>
      <c r="H504" s="43">
        <f t="shared" si="133"/>
        <v>1.716666667</v>
      </c>
      <c r="I504" s="43">
        <f t="shared" si="134"/>
        <v>10.3</v>
      </c>
      <c r="J504" s="37"/>
      <c r="K504" s="45">
        <f t="shared" si="135"/>
        <v>0</v>
      </c>
    </row>
    <row r="505" ht="15.0" customHeight="1">
      <c r="A505" s="39" t="s">
        <v>677</v>
      </c>
      <c r="B505" s="40" t="s">
        <v>18</v>
      </c>
      <c r="C505" s="41">
        <v>12.0</v>
      </c>
      <c r="D505" s="33">
        <v>8.850389109793E12</v>
      </c>
      <c r="E505" s="42">
        <v>2.35</v>
      </c>
      <c r="F505" s="35">
        <v>28.2</v>
      </c>
      <c r="G505" s="36">
        <v>1.0</v>
      </c>
      <c r="H505" s="43">
        <f t="shared" si="133"/>
        <v>2.433333333</v>
      </c>
      <c r="I505" s="43">
        <f t="shared" si="134"/>
        <v>29.2</v>
      </c>
      <c r="J505" s="37"/>
      <c r="K505" s="45">
        <f t="shared" si="135"/>
        <v>0</v>
      </c>
    </row>
    <row r="506" ht="15.0" customHeight="1">
      <c r="A506" s="39" t="s">
        <v>678</v>
      </c>
      <c r="B506" s="40" t="s">
        <v>18</v>
      </c>
      <c r="C506" s="41">
        <v>12.0</v>
      </c>
      <c r="D506" s="33">
        <v>8.850389116012E12</v>
      </c>
      <c r="E506" s="42">
        <v>2.35</v>
      </c>
      <c r="F506" s="35">
        <v>28.2</v>
      </c>
      <c r="G506" s="36">
        <v>1.0</v>
      </c>
      <c r="H506" s="43">
        <f t="shared" si="133"/>
        <v>2.433333333</v>
      </c>
      <c r="I506" s="43">
        <f t="shared" si="134"/>
        <v>29.2</v>
      </c>
      <c r="J506" s="37"/>
      <c r="K506" s="45">
        <f t="shared" si="135"/>
        <v>0</v>
      </c>
    </row>
    <row r="507" ht="15.0" customHeight="1">
      <c r="A507" s="39" t="s">
        <v>679</v>
      </c>
      <c r="B507" s="40" t="s">
        <v>18</v>
      </c>
      <c r="C507" s="41">
        <v>12.0</v>
      </c>
      <c r="D507" s="33">
        <v>8.850389109762E12</v>
      </c>
      <c r="E507" s="42">
        <v>2.35</v>
      </c>
      <c r="F507" s="35">
        <v>28.2</v>
      </c>
      <c r="G507" s="36">
        <v>1.0</v>
      </c>
      <c r="H507" s="43">
        <f t="shared" si="133"/>
        <v>2.433333333</v>
      </c>
      <c r="I507" s="43">
        <f t="shared" si="134"/>
        <v>29.2</v>
      </c>
      <c r="J507" s="37"/>
      <c r="K507" s="45">
        <f t="shared" si="135"/>
        <v>0</v>
      </c>
    </row>
    <row r="508" ht="15.0" customHeight="1">
      <c r="A508" s="39" t="s">
        <v>680</v>
      </c>
      <c r="B508" s="40" t="s">
        <v>18</v>
      </c>
      <c r="C508" s="41">
        <v>12.0</v>
      </c>
      <c r="D508" s="33">
        <v>8.85038910545E12</v>
      </c>
      <c r="E508" s="42">
        <v>2.35</v>
      </c>
      <c r="F508" s="35">
        <v>28.2</v>
      </c>
      <c r="G508" s="36">
        <v>1.0</v>
      </c>
      <c r="H508" s="43">
        <f t="shared" si="133"/>
        <v>2.433333333</v>
      </c>
      <c r="I508" s="43">
        <f t="shared" si="134"/>
        <v>29.2</v>
      </c>
      <c r="J508" s="37"/>
      <c r="K508" s="45">
        <f t="shared" si="135"/>
        <v>0</v>
      </c>
    </row>
    <row r="509" ht="15.0" customHeight="1">
      <c r="A509" s="39" t="s">
        <v>681</v>
      </c>
      <c r="B509" s="40" t="s">
        <v>18</v>
      </c>
      <c r="C509" s="41">
        <v>12.0</v>
      </c>
      <c r="D509" s="33">
        <v>8.850389109779E12</v>
      </c>
      <c r="E509" s="42">
        <v>2.35</v>
      </c>
      <c r="F509" s="35">
        <v>28.2</v>
      </c>
      <c r="G509" s="36">
        <v>1.0</v>
      </c>
      <c r="H509" s="43">
        <f t="shared" si="133"/>
        <v>2.433333333</v>
      </c>
      <c r="I509" s="43">
        <f t="shared" si="134"/>
        <v>29.2</v>
      </c>
      <c r="J509" s="37"/>
      <c r="K509" s="45">
        <f t="shared" si="135"/>
        <v>0</v>
      </c>
    </row>
    <row r="510" ht="15.0" customHeight="1">
      <c r="A510" s="39" t="s">
        <v>682</v>
      </c>
      <c r="B510" s="40" t="s">
        <v>18</v>
      </c>
      <c r="C510" s="41">
        <v>12.0</v>
      </c>
      <c r="D510" s="33">
        <v>8.850389111628E12</v>
      </c>
      <c r="E510" s="42">
        <v>2.35</v>
      </c>
      <c r="F510" s="35">
        <v>28.2</v>
      </c>
      <c r="G510" s="36">
        <v>1.0</v>
      </c>
      <c r="H510" s="43">
        <f t="shared" si="133"/>
        <v>2.433333333</v>
      </c>
      <c r="I510" s="43">
        <f t="shared" si="134"/>
        <v>29.2</v>
      </c>
      <c r="J510" s="37"/>
      <c r="K510" s="45">
        <f t="shared" si="135"/>
        <v>0</v>
      </c>
    </row>
    <row r="511" ht="15.0" customHeight="1">
      <c r="A511" s="39" t="s">
        <v>683</v>
      </c>
      <c r="B511" s="40" t="s">
        <v>18</v>
      </c>
      <c r="C511" s="41">
        <v>12.0</v>
      </c>
      <c r="D511" s="33">
        <v>8.850389116357E12</v>
      </c>
      <c r="E511" s="42">
        <v>2.35</v>
      </c>
      <c r="F511" s="35">
        <v>28.2</v>
      </c>
      <c r="G511" s="36">
        <v>1.0</v>
      </c>
      <c r="H511" s="43">
        <f t="shared" si="133"/>
        <v>2.433333333</v>
      </c>
      <c r="I511" s="43">
        <f t="shared" si="134"/>
        <v>29.2</v>
      </c>
      <c r="J511" s="37"/>
      <c r="K511" s="45">
        <f t="shared" si="135"/>
        <v>0</v>
      </c>
    </row>
    <row r="512" ht="15.0" customHeight="1">
      <c r="A512" s="23" t="s">
        <v>684</v>
      </c>
      <c r="B512" s="24"/>
      <c r="C512" s="23"/>
      <c r="D512" s="25"/>
      <c r="E512" s="26"/>
      <c r="F512" s="26"/>
      <c r="G512" s="27"/>
      <c r="H512" s="132"/>
      <c r="I512" s="132"/>
      <c r="J512" s="28"/>
      <c r="K512" s="132"/>
    </row>
    <row r="513" ht="15.0" customHeight="1">
      <c r="A513" s="30" t="s">
        <v>685</v>
      </c>
      <c r="B513" s="31"/>
      <c r="C513" s="32"/>
      <c r="D513" s="33"/>
      <c r="E513" s="34"/>
      <c r="F513" s="35"/>
      <c r="G513" s="36"/>
      <c r="H513" s="43"/>
      <c r="I513" s="43"/>
      <c r="J513" s="37"/>
      <c r="K513" s="45"/>
    </row>
    <row r="514" ht="15.0" customHeight="1">
      <c r="A514" s="39" t="s">
        <v>686</v>
      </c>
      <c r="B514" s="40" t="s">
        <v>22</v>
      </c>
      <c r="C514" s="41">
        <v>24.0</v>
      </c>
      <c r="D514" s="33">
        <v>3.16233070157E12</v>
      </c>
      <c r="E514" s="42">
        <v>0.63</v>
      </c>
      <c r="F514" s="35">
        <v>15.12</v>
      </c>
      <c r="G514" s="36">
        <v>2.0</v>
      </c>
      <c r="H514" s="43">
        <f t="shared" ref="H514:H574" si="136">I514/C514</f>
        <v>0.7133333333</v>
      </c>
      <c r="I514" s="43">
        <f t="shared" ref="I514:I574" si="137">F514+G514</f>
        <v>17.12</v>
      </c>
      <c r="J514" s="37"/>
      <c r="K514" s="45">
        <f t="shared" ref="K514:K574" si="138">I514*J514</f>
        <v>0</v>
      </c>
    </row>
    <row r="515" ht="15.0" customHeight="1">
      <c r="A515" s="39" t="s">
        <v>687</v>
      </c>
      <c r="B515" s="40" t="s">
        <v>22</v>
      </c>
      <c r="C515" s="41">
        <v>24.0</v>
      </c>
      <c r="D515" s="33">
        <v>3.162330070003E12</v>
      </c>
      <c r="E515" s="42">
        <v>0.83</v>
      </c>
      <c r="F515" s="35">
        <v>19.92</v>
      </c>
      <c r="G515" s="36">
        <v>2.0</v>
      </c>
      <c r="H515" s="43">
        <f t="shared" si="136"/>
        <v>0.9133333333</v>
      </c>
      <c r="I515" s="43">
        <f t="shared" si="137"/>
        <v>21.92</v>
      </c>
      <c r="J515" s="37"/>
      <c r="K515" s="45">
        <f t="shared" si="138"/>
        <v>0</v>
      </c>
    </row>
    <row r="516" ht="15.0" customHeight="1">
      <c r="A516" s="48" t="s">
        <v>688</v>
      </c>
      <c r="B516" s="40" t="s">
        <v>22</v>
      </c>
      <c r="C516" s="41">
        <v>24.0</v>
      </c>
      <c r="D516" s="33">
        <v>3.162330081085E12</v>
      </c>
      <c r="E516" s="42">
        <v>0.92</v>
      </c>
      <c r="F516" s="35">
        <f>E516*C516</f>
        <v>22.08</v>
      </c>
      <c r="G516" s="36">
        <v>2.0</v>
      </c>
      <c r="H516" s="43">
        <f t="shared" si="136"/>
        <v>1.003333333</v>
      </c>
      <c r="I516" s="43">
        <f t="shared" si="137"/>
        <v>24.08</v>
      </c>
      <c r="J516" s="37"/>
      <c r="K516" s="45">
        <f t="shared" si="138"/>
        <v>0</v>
      </c>
    </row>
    <row r="517" ht="15.0" customHeight="1">
      <c r="A517" s="39" t="s">
        <v>689</v>
      </c>
      <c r="B517" s="40" t="s">
        <v>22</v>
      </c>
      <c r="C517" s="41">
        <v>24.0</v>
      </c>
      <c r="D517" s="33">
        <v>3.162330052641E12</v>
      </c>
      <c r="E517" s="42">
        <v>0.72</v>
      </c>
      <c r="F517" s="35">
        <v>17.28</v>
      </c>
      <c r="G517" s="36">
        <v>2.0</v>
      </c>
      <c r="H517" s="43">
        <f t="shared" si="136"/>
        <v>0.8033333333</v>
      </c>
      <c r="I517" s="43">
        <f t="shared" si="137"/>
        <v>19.28</v>
      </c>
      <c r="J517" s="37"/>
      <c r="K517" s="45">
        <f t="shared" si="138"/>
        <v>0</v>
      </c>
    </row>
    <row r="518" ht="15.0" customHeight="1">
      <c r="A518" s="39" t="s">
        <v>690</v>
      </c>
      <c r="B518" s="40" t="s">
        <v>22</v>
      </c>
      <c r="C518" s="41">
        <v>24.0</v>
      </c>
      <c r="D518" s="33">
        <v>3.162330245029E12</v>
      </c>
      <c r="E518" s="42">
        <v>0.94</v>
      </c>
      <c r="F518" s="35">
        <v>22.56</v>
      </c>
      <c r="G518" s="36">
        <v>2.0</v>
      </c>
      <c r="H518" s="43">
        <f t="shared" si="136"/>
        <v>1.023333333</v>
      </c>
      <c r="I518" s="43">
        <f t="shared" si="137"/>
        <v>24.56</v>
      </c>
      <c r="J518" s="37"/>
      <c r="K518" s="45">
        <f t="shared" si="138"/>
        <v>0</v>
      </c>
    </row>
    <row r="519" ht="15.0" customHeight="1">
      <c r="A519" s="39" t="s">
        <v>691</v>
      </c>
      <c r="B519" s="40" t="s">
        <v>22</v>
      </c>
      <c r="C519" s="41">
        <v>24.0</v>
      </c>
      <c r="D519" s="33">
        <v>3.162330100113E12</v>
      </c>
      <c r="E519" s="42">
        <v>1.15</v>
      </c>
      <c r="F519" s="35">
        <v>27.6</v>
      </c>
      <c r="G519" s="36">
        <v>2.0</v>
      </c>
      <c r="H519" s="43">
        <f t="shared" si="136"/>
        <v>1.233333333</v>
      </c>
      <c r="I519" s="43">
        <f t="shared" si="137"/>
        <v>29.6</v>
      </c>
      <c r="J519" s="37"/>
      <c r="K519" s="45">
        <f t="shared" si="138"/>
        <v>0</v>
      </c>
    </row>
    <row r="520" ht="15.0" customHeight="1">
      <c r="A520" s="39" t="s">
        <v>692</v>
      </c>
      <c r="B520" s="40" t="s">
        <v>22</v>
      </c>
      <c r="C520" s="41">
        <v>24.0</v>
      </c>
      <c r="D520" s="33">
        <v>3.162330500043E12</v>
      </c>
      <c r="E520" s="42">
        <v>1.07</v>
      </c>
      <c r="F520" s="35">
        <v>25.68</v>
      </c>
      <c r="G520" s="36">
        <v>2.0</v>
      </c>
      <c r="H520" s="43">
        <f t="shared" si="136"/>
        <v>1.153333333</v>
      </c>
      <c r="I520" s="43">
        <f t="shared" si="137"/>
        <v>27.68</v>
      </c>
      <c r="J520" s="37"/>
      <c r="K520" s="45">
        <f t="shared" si="138"/>
        <v>0</v>
      </c>
    </row>
    <row r="521" ht="15.0" customHeight="1">
      <c r="A521" s="39" t="s">
        <v>693</v>
      </c>
      <c r="B521" s="40" t="s">
        <v>22</v>
      </c>
      <c r="C521" s="41">
        <v>24.0</v>
      </c>
      <c r="D521" s="33">
        <v>3.162330500104E12</v>
      </c>
      <c r="E521" s="42">
        <v>1.18</v>
      </c>
      <c r="F521" s="35">
        <v>28.32</v>
      </c>
      <c r="G521" s="36">
        <v>2.0</v>
      </c>
      <c r="H521" s="43">
        <f t="shared" si="136"/>
        <v>1.263333333</v>
      </c>
      <c r="I521" s="43">
        <f t="shared" si="137"/>
        <v>30.32</v>
      </c>
      <c r="J521" s="37"/>
      <c r="K521" s="45">
        <f t="shared" si="138"/>
        <v>0</v>
      </c>
    </row>
    <row r="522" ht="15.0" customHeight="1">
      <c r="A522" s="39" t="s">
        <v>694</v>
      </c>
      <c r="B522" s="40" t="s">
        <v>22</v>
      </c>
      <c r="C522" s="41">
        <v>24.0</v>
      </c>
      <c r="D522" s="33">
        <v>3.162330500111E12</v>
      </c>
      <c r="E522" s="42">
        <v>1.18</v>
      </c>
      <c r="F522" s="35">
        <v>28.32</v>
      </c>
      <c r="G522" s="36">
        <v>2.0</v>
      </c>
      <c r="H522" s="43">
        <f t="shared" si="136"/>
        <v>1.263333333</v>
      </c>
      <c r="I522" s="43">
        <f t="shared" si="137"/>
        <v>30.32</v>
      </c>
      <c r="J522" s="37"/>
      <c r="K522" s="45">
        <f t="shared" si="138"/>
        <v>0</v>
      </c>
    </row>
    <row r="523" ht="15.0" customHeight="1">
      <c r="A523" s="39" t="s">
        <v>695</v>
      </c>
      <c r="B523" s="40" t="s">
        <v>22</v>
      </c>
      <c r="C523" s="41">
        <v>24.0</v>
      </c>
      <c r="D523" s="33">
        <v>3.162330500128E12</v>
      </c>
      <c r="E523" s="42">
        <v>1.18</v>
      </c>
      <c r="F523" s="35">
        <v>28.32</v>
      </c>
      <c r="G523" s="36">
        <v>2.0</v>
      </c>
      <c r="H523" s="43">
        <f t="shared" si="136"/>
        <v>1.263333333</v>
      </c>
      <c r="I523" s="43">
        <f t="shared" si="137"/>
        <v>30.32</v>
      </c>
      <c r="J523" s="37"/>
      <c r="K523" s="45">
        <f t="shared" si="138"/>
        <v>0</v>
      </c>
    </row>
    <row r="524" ht="15.0" customHeight="1">
      <c r="A524" s="39" t="s">
        <v>696</v>
      </c>
      <c r="B524" s="40" t="s">
        <v>22</v>
      </c>
      <c r="C524" s="41">
        <v>24.0</v>
      </c>
      <c r="D524" s="33">
        <v>3.261570006152E12</v>
      </c>
      <c r="E524" s="42">
        <v>1.18</v>
      </c>
      <c r="F524" s="35">
        <v>28.32</v>
      </c>
      <c r="G524" s="36">
        <v>2.0</v>
      </c>
      <c r="H524" s="43">
        <f t="shared" si="136"/>
        <v>1.263333333</v>
      </c>
      <c r="I524" s="43">
        <f t="shared" si="137"/>
        <v>30.32</v>
      </c>
      <c r="J524" s="37"/>
      <c r="K524" s="45">
        <f t="shared" si="138"/>
        <v>0</v>
      </c>
    </row>
    <row r="525" ht="15.0" customHeight="1">
      <c r="A525" s="39" t="s">
        <v>697</v>
      </c>
      <c r="B525" s="40" t="s">
        <v>22</v>
      </c>
      <c r="C525" s="41">
        <v>24.0</v>
      </c>
      <c r="D525" s="33">
        <v>3.162330080927E12</v>
      </c>
      <c r="E525" s="42">
        <v>1.18</v>
      </c>
      <c r="F525" s="35">
        <v>28.32</v>
      </c>
      <c r="G525" s="36">
        <v>2.0</v>
      </c>
      <c r="H525" s="43">
        <f t="shared" si="136"/>
        <v>1.263333333</v>
      </c>
      <c r="I525" s="43">
        <f t="shared" si="137"/>
        <v>30.32</v>
      </c>
      <c r="J525" s="37"/>
      <c r="K525" s="45">
        <f t="shared" si="138"/>
        <v>0</v>
      </c>
    </row>
    <row r="526" ht="15.0" customHeight="1">
      <c r="A526" s="39" t="s">
        <v>698</v>
      </c>
      <c r="B526" s="40" t="s">
        <v>22</v>
      </c>
      <c r="C526" s="41">
        <v>24.0</v>
      </c>
      <c r="D526" s="33">
        <v>8.716700015238E12</v>
      </c>
      <c r="E526" s="42">
        <v>1.25</v>
      </c>
      <c r="F526" s="35">
        <v>30.0</v>
      </c>
      <c r="G526" s="36">
        <v>2.0</v>
      </c>
      <c r="H526" s="43">
        <f t="shared" si="136"/>
        <v>1.333333333</v>
      </c>
      <c r="I526" s="43">
        <f t="shared" si="137"/>
        <v>32</v>
      </c>
      <c r="J526" s="37"/>
      <c r="K526" s="45">
        <f t="shared" si="138"/>
        <v>0</v>
      </c>
    </row>
    <row r="527" ht="15.0" customHeight="1">
      <c r="A527" s="39" t="s">
        <v>699</v>
      </c>
      <c r="B527" s="40" t="s">
        <v>22</v>
      </c>
      <c r="C527" s="41">
        <v>24.0</v>
      </c>
      <c r="D527" s="33" t="s">
        <v>700</v>
      </c>
      <c r="E527" s="42">
        <v>1.55</v>
      </c>
      <c r="F527" s="35">
        <v>37.2</v>
      </c>
      <c r="G527" s="36">
        <v>2.0</v>
      </c>
      <c r="H527" s="43">
        <f t="shared" si="136"/>
        <v>1.633333333</v>
      </c>
      <c r="I527" s="43">
        <f t="shared" si="137"/>
        <v>39.2</v>
      </c>
      <c r="J527" s="37"/>
      <c r="K527" s="45">
        <f t="shared" si="138"/>
        <v>0</v>
      </c>
    </row>
    <row r="528" ht="15.0" customHeight="1">
      <c r="A528" s="39" t="s">
        <v>701</v>
      </c>
      <c r="B528" s="40" t="s">
        <v>22</v>
      </c>
      <c r="C528" s="41">
        <v>24.0</v>
      </c>
      <c r="D528" s="33">
        <v>8.716700017126E12</v>
      </c>
      <c r="E528" s="42">
        <v>1.3</v>
      </c>
      <c r="F528" s="35">
        <v>31.2</v>
      </c>
      <c r="G528" s="36">
        <v>2.0</v>
      </c>
      <c r="H528" s="43">
        <f t="shared" si="136"/>
        <v>1.383333333</v>
      </c>
      <c r="I528" s="43">
        <f t="shared" si="137"/>
        <v>33.2</v>
      </c>
      <c r="J528" s="37"/>
      <c r="K528" s="45">
        <f t="shared" si="138"/>
        <v>0</v>
      </c>
    </row>
    <row r="529" ht="15.0" customHeight="1">
      <c r="A529" s="39" t="s">
        <v>702</v>
      </c>
      <c r="B529" s="40" t="s">
        <v>22</v>
      </c>
      <c r="C529" s="41">
        <v>24.0</v>
      </c>
      <c r="D529" s="33">
        <v>8.714800035187E12</v>
      </c>
      <c r="E529" s="42">
        <v>1.14</v>
      </c>
      <c r="F529" s="35">
        <v>27.36</v>
      </c>
      <c r="G529" s="36">
        <v>1.0</v>
      </c>
      <c r="H529" s="43">
        <f t="shared" si="136"/>
        <v>1.181666667</v>
      </c>
      <c r="I529" s="43">
        <f t="shared" si="137"/>
        <v>28.36</v>
      </c>
      <c r="J529" s="37"/>
      <c r="K529" s="45">
        <f t="shared" si="138"/>
        <v>0</v>
      </c>
    </row>
    <row r="530" ht="15.0" customHeight="1">
      <c r="A530" s="39" t="s">
        <v>703</v>
      </c>
      <c r="B530" s="40" t="s">
        <v>22</v>
      </c>
      <c r="C530" s="41">
        <v>24.0</v>
      </c>
      <c r="D530" s="33" t="s">
        <v>704</v>
      </c>
      <c r="E530" s="42">
        <v>1.14</v>
      </c>
      <c r="F530" s="35">
        <v>27.36</v>
      </c>
      <c r="G530" s="36">
        <v>1.0</v>
      </c>
      <c r="H530" s="43">
        <f t="shared" si="136"/>
        <v>1.181666667</v>
      </c>
      <c r="I530" s="43">
        <f t="shared" si="137"/>
        <v>28.36</v>
      </c>
      <c r="J530" s="37"/>
      <c r="K530" s="45">
        <f t="shared" si="138"/>
        <v>0</v>
      </c>
    </row>
    <row r="531" ht="15.0" customHeight="1">
      <c r="A531" s="39" t="s">
        <v>705</v>
      </c>
      <c r="B531" s="40" t="s">
        <v>706</v>
      </c>
      <c r="C531" s="41">
        <v>96.0</v>
      </c>
      <c r="D531" s="33" t="s">
        <v>707</v>
      </c>
      <c r="E531" s="42">
        <v>1.14</v>
      </c>
      <c r="F531" s="35">
        <v>437.76</v>
      </c>
      <c r="G531" s="36">
        <v>16.0</v>
      </c>
      <c r="H531" s="43">
        <f t="shared" si="136"/>
        <v>4.726666667</v>
      </c>
      <c r="I531" s="43">
        <f t="shared" si="137"/>
        <v>453.76</v>
      </c>
      <c r="J531" s="37"/>
      <c r="K531" s="45">
        <f t="shared" si="138"/>
        <v>0</v>
      </c>
    </row>
    <row r="532" ht="15.0" customHeight="1">
      <c r="A532" s="39" t="s">
        <v>708</v>
      </c>
      <c r="B532" s="40" t="s">
        <v>709</v>
      </c>
      <c r="C532" s="41">
        <v>36.0</v>
      </c>
      <c r="D532" s="33">
        <v>8.714800035187E12</v>
      </c>
      <c r="E532" s="42">
        <v>1.14</v>
      </c>
      <c r="F532" s="35">
        <v>738.72</v>
      </c>
      <c r="G532" s="36">
        <v>1.0</v>
      </c>
      <c r="H532" s="43">
        <f t="shared" si="136"/>
        <v>20.54777778</v>
      </c>
      <c r="I532" s="43">
        <f t="shared" si="137"/>
        <v>739.72</v>
      </c>
      <c r="J532" s="37"/>
      <c r="K532" s="45">
        <f t="shared" si="138"/>
        <v>0</v>
      </c>
    </row>
    <row r="533" ht="15.0" customHeight="1">
      <c r="A533" s="39" t="s">
        <v>710</v>
      </c>
      <c r="B533" s="40" t="s">
        <v>22</v>
      </c>
      <c r="C533" s="41">
        <v>24.0</v>
      </c>
      <c r="D533" s="33">
        <v>8.714800021395E12</v>
      </c>
      <c r="E533" s="42">
        <v>1.15</v>
      </c>
      <c r="F533" s="35">
        <v>27.6</v>
      </c>
      <c r="G533" s="36">
        <v>2.0</v>
      </c>
      <c r="H533" s="43">
        <f t="shared" si="136"/>
        <v>1.233333333</v>
      </c>
      <c r="I533" s="43">
        <f t="shared" si="137"/>
        <v>29.6</v>
      </c>
      <c r="J533" s="37"/>
      <c r="K533" s="45">
        <f t="shared" si="138"/>
        <v>0</v>
      </c>
    </row>
    <row r="534" ht="15.0" customHeight="1">
      <c r="A534" s="39" t="s">
        <v>711</v>
      </c>
      <c r="B534" s="40" t="s">
        <v>22</v>
      </c>
      <c r="C534" s="41">
        <v>24.0</v>
      </c>
      <c r="D534" s="33">
        <v>8.714800014182E12</v>
      </c>
      <c r="E534" s="42">
        <v>1.25</v>
      </c>
      <c r="F534" s="35">
        <v>30.0</v>
      </c>
      <c r="G534" s="36">
        <v>2.0</v>
      </c>
      <c r="H534" s="43">
        <f t="shared" si="136"/>
        <v>1.333333333</v>
      </c>
      <c r="I534" s="43">
        <f t="shared" si="137"/>
        <v>32</v>
      </c>
      <c r="J534" s="37"/>
      <c r="K534" s="45">
        <f t="shared" si="138"/>
        <v>0</v>
      </c>
    </row>
    <row r="535" ht="15.0" customHeight="1">
      <c r="A535" s="39" t="s">
        <v>712</v>
      </c>
      <c r="B535" s="40" t="s">
        <v>22</v>
      </c>
      <c r="C535" s="41">
        <v>24.0</v>
      </c>
      <c r="D535" s="33">
        <v>8.714800036214E12</v>
      </c>
      <c r="E535" s="42">
        <v>1.27</v>
      </c>
      <c r="F535" s="35">
        <v>30.48</v>
      </c>
      <c r="G535" s="36">
        <v>2.0</v>
      </c>
      <c r="H535" s="43">
        <f t="shared" si="136"/>
        <v>1.353333333</v>
      </c>
      <c r="I535" s="43">
        <f t="shared" si="137"/>
        <v>32.48</v>
      </c>
      <c r="J535" s="37"/>
      <c r="K535" s="45">
        <f t="shared" si="138"/>
        <v>0</v>
      </c>
    </row>
    <row r="536" ht="15.0" customHeight="1">
      <c r="A536" s="39" t="s">
        <v>713</v>
      </c>
      <c r="B536" s="40" t="s">
        <v>22</v>
      </c>
      <c r="C536" s="41">
        <v>24.0</v>
      </c>
      <c r="D536" s="33">
        <v>8.714800025898E12</v>
      </c>
      <c r="E536" s="42">
        <v>1.35</v>
      </c>
      <c r="F536" s="35">
        <v>32.4</v>
      </c>
      <c r="G536" s="36">
        <v>2.0</v>
      </c>
      <c r="H536" s="43">
        <f t="shared" si="136"/>
        <v>1.433333333</v>
      </c>
      <c r="I536" s="43">
        <f t="shared" si="137"/>
        <v>34.4</v>
      </c>
      <c r="J536" s="37"/>
      <c r="K536" s="45">
        <f t="shared" si="138"/>
        <v>0</v>
      </c>
    </row>
    <row r="537" ht="15.0" customHeight="1">
      <c r="A537" s="39" t="s">
        <v>714</v>
      </c>
      <c r="B537" s="40" t="s">
        <v>22</v>
      </c>
      <c r="C537" s="41">
        <v>24.0</v>
      </c>
      <c r="D537" s="33">
        <v>8.714800026949E12</v>
      </c>
      <c r="E537" s="42">
        <v>1.35</v>
      </c>
      <c r="F537" s="35">
        <v>32.4</v>
      </c>
      <c r="G537" s="36">
        <v>2.0</v>
      </c>
      <c r="H537" s="43">
        <f t="shared" si="136"/>
        <v>1.433333333</v>
      </c>
      <c r="I537" s="43">
        <f t="shared" si="137"/>
        <v>34.4</v>
      </c>
      <c r="J537" s="37"/>
      <c r="K537" s="45">
        <f t="shared" si="138"/>
        <v>0</v>
      </c>
    </row>
    <row r="538" ht="15.0" customHeight="1">
      <c r="A538" s="39" t="s">
        <v>715</v>
      </c>
      <c r="B538" s="40" t="s">
        <v>22</v>
      </c>
      <c r="C538" s="41">
        <v>24.0</v>
      </c>
      <c r="D538" s="33">
        <v>8.714800050098E12</v>
      </c>
      <c r="E538" s="42">
        <v>1.4</v>
      </c>
      <c r="F538" s="35">
        <v>33.6</v>
      </c>
      <c r="G538" s="36">
        <v>2.0</v>
      </c>
      <c r="H538" s="43">
        <f t="shared" si="136"/>
        <v>1.483333333</v>
      </c>
      <c r="I538" s="43">
        <f t="shared" si="137"/>
        <v>35.6</v>
      </c>
      <c r="J538" s="37"/>
      <c r="K538" s="45">
        <f t="shared" si="138"/>
        <v>0</v>
      </c>
    </row>
    <row r="539" ht="15.0" customHeight="1">
      <c r="A539" s="39" t="s">
        <v>716</v>
      </c>
      <c r="B539" s="40" t="s">
        <v>22</v>
      </c>
      <c r="C539" s="41">
        <v>24.0</v>
      </c>
      <c r="D539" s="33" t="s">
        <v>717</v>
      </c>
      <c r="E539" s="42">
        <v>1.4</v>
      </c>
      <c r="F539" s="35">
        <v>33.6</v>
      </c>
      <c r="G539" s="36">
        <v>2.0</v>
      </c>
      <c r="H539" s="43">
        <f t="shared" si="136"/>
        <v>1.483333333</v>
      </c>
      <c r="I539" s="43">
        <f t="shared" si="137"/>
        <v>35.6</v>
      </c>
      <c r="J539" s="37"/>
      <c r="K539" s="45">
        <f t="shared" si="138"/>
        <v>0</v>
      </c>
    </row>
    <row r="540" ht="15.0" customHeight="1">
      <c r="A540" s="39" t="s">
        <v>718</v>
      </c>
      <c r="B540" s="40" t="s">
        <v>22</v>
      </c>
      <c r="C540" s="41">
        <v>24.0</v>
      </c>
      <c r="D540" s="33">
        <v>5.410783010595E12</v>
      </c>
      <c r="E540" s="42">
        <v>1.55</v>
      </c>
      <c r="F540" s="35">
        <v>37.2</v>
      </c>
      <c r="G540" s="36">
        <v>1.0</v>
      </c>
      <c r="H540" s="43">
        <f t="shared" si="136"/>
        <v>1.591666667</v>
      </c>
      <c r="I540" s="43">
        <f t="shared" si="137"/>
        <v>38.2</v>
      </c>
      <c r="J540" s="37"/>
      <c r="K540" s="45">
        <f t="shared" si="138"/>
        <v>0</v>
      </c>
    </row>
    <row r="541" ht="15.0" customHeight="1">
      <c r="A541" s="39" t="s">
        <v>719</v>
      </c>
      <c r="B541" s="40" t="s">
        <v>22</v>
      </c>
      <c r="C541" s="41">
        <v>24.0</v>
      </c>
      <c r="D541" s="33">
        <v>5.056025440449E12</v>
      </c>
      <c r="E541" s="42">
        <v>2.05</v>
      </c>
      <c r="F541" s="35">
        <v>49.2</v>
      </c>
      <c r="G541" s="36">
        <v>2.0</v>
      </c>
      <c r="H541" s="43">
        <f t="shared" si="136"/>
        <v>2.133333333</v>
      </c>
      <c r="I541" s="43">
        <f t="shared" si="137"/>
        <v>51.2</v>
      </c>
      <c r="J541" s="37"/>
      <c r="K541" s="45">
        <f t="shared" si="138"/>
        <v>0</v>
      </c>
    </row>
    <row r="542" ht="15.0" customHeight="1">
      <c r="A542" s="39" t="s">
        <v>720</v>
      </c>
      <c r="B542" s="40" t="s">
        <v>22</v>
      </c>
      <c r="C542" s="41">
        <v>24.0</v>
      </c>
      <c r="D542" s="33" t="s">
        <v>721</v>
      </c>
      <c r="E542" s="42">
        <v>1.05</v>
      </c>
      <c r="F542" s="35">
        <v>25.2</v>
      </c>
      <c r="G542" s="36">
        <v>1.0</v>
      </c>
      <c r="H542" s="43">
        <f t="shared" si="136"/>
        <v>1.091666667</v>
      </c>
      <c r="I542" s="43">
        <f t="shared" si="137"/>
        <v>26.2</v>
      </c>
      <c r="J542" s="37"/>
      <c r="K542" s="45">
        <f t="shared" si="138"/>
        <v>0</v>
      </c>
    </row>
    <row r="543" ht="15.0" customHeight="1">
      <c r="A543" s="39" t="s">
        <v>722</v>
      </c>
      <c r="B543" s="40" t="s">
        <v>153</v>
      </c>
      <c r="C543" s="41">
        <v>24.0</v>
      </c>
      <c r="D543" s="33" t="s">
        <v>723</v>
      </c>
      <c r="E543" s="42">
        <v>0.75</v>
      </c>
      <c r="F543" s="35">
        <v>18.0</v>
      </c>
      <c r="G543" s="36">
        <v>1.0</v>
      </c>
      <c r="H543" s="43">
        <f t="shared" si="136"/>
        <v>0.7916666667</v>
      </c>
      <c r="I543" s="43">
        <f t="shared" si="137"/>
        <v>19</v>
      </c>
      <c r="J543" s="37"/>
      <c r="K543" s="45">
        <f t="shared" si="138"/>
        <v>0</v>
      </c>
    </row>
    <row r="544" ht="15.0" customHeight="1">
      <c r="A544" s="39" t="s">
        <v>724</v>
      </c>
      <c r="B544" s="40" t="s">
        <v>22</v>
      </c>
      <c r="C544" s="41">
        <v>24.0</v>
      </c>
      <c r="D544" s="33" t="s">
        <v>725</v>
      </c>
      <c r="E544" s="42">
        <v>1.65</v>
      </c>
      <c r="F544" s="35">
        <v>39.6</v>
      </c>
      <c r="G544" s="36">
        <v>1.0</v>
      </c>
      <c r="H544" s="43">
        <f t="shared" si="136"/>
        <v>1.691666667</v>
      </c>
      <c r="I544" s="43">
        <f t="shared" si="137"/>
        <v>40.6</v>
      </c>
      <c r="J544" s="37"/>
      <c r="K544" s="45">
        <f t="shared" si="138"/>
        <v>0</v>
      </c>
    </row>
    <row r="545" ht="15.0" customHeight="1">
      <c r="A545" s="69" t="s">
        <v>726</v>
      </c>
      <c r="B545" s="40" t="s">
        <v>16</v>
      </c>
      <c r="C545" s="41">
        <v>24.0</v>
      </c>
      <c r="D545" s="70">
        <v>5.410316960014E12</v>
      </c>
      <c r="E545" s="71">
        <v>1.3</v>
      </c>
      <c r="F545" s="57">
        <f>C545*E545</f>
        <v>31.2</v>
      </c>
      <c r="G545" s="36">
        <v>1.0</v>
      </c>
      <c r="H545" s="43">
        <f t="shared" si="136"/>
        <v>1.341666667</v>
      </c>
      <c r="I545" s="43">
        <f t="shared" si="137"/>
        <v>32.2</v>
      </c>
      <c r="J545" s="37"/>
      <c r="K545" s="45">
        <f t="shared" si="138"/>
        <v>0</v>
      </c>
    </row>
    <row r="546" ht="15.0" customHeight="1">
      <c r="A546" s="39" t="s">
        <v>727</v>
      </c>
      <c r="B546" s="40" t="s">
        <v>22</v>
      </c>
      <c r="C546" s="41">
        <v>24.0</v>
      </c>
      <c r="D546" s="33" t="s">
        <v>728</v>
      </c>
      <c r="E546" s="42">
        <v>1.1</v>
      </c>
      <c r="F546" s="35">
        <v>26.4</v>
      </c>
      <c r="G546" s="36">
        <v>2.0</v>
      </c>
      <c r="H546" s="43">
        <f t="shared" si="136"/>
        <v>1.183333333</v>
      </c>
      <c r="I546" s="43">
        <f t="shared" si="137"/>
        <v>28.4</v>
      </c>
      <c r="J546" s="37"/>
      <c r="K546" s="45">
        <f t="shared" si="138"/>
        <v>0</v>
      </c>
    </row>
    <row r="547" ht="15.0" customHeight="1">
      <c r="A547" s="39" t="s">
        <v>729</v>
      </c>
      <c r="B547" s="40" t="s">
        <v>153</v>
      </c>
      <c r="C547" s="41">
        <v>24.0</v>
      </c>
      <c r="D547" s="33">
        <v>3.080210000707E12</v>
      </c>
      <c r="E547" s="42">
        <v>0.65</v>
      </c>
      <c r="F547" s="35">
        <v>15.6</v>
      </c>
      <c r="G547" s="36">
        <v>1.0</v>
      </c>
      <c r="H547" s="43">
        <f t="shared" si="136"/>
        <v>0.6916666667</v>
      </c>
      <c r="I547" s="43">
        <f t="shared" si="137"/>
        <v>16.6</v>
      </c>
      <c r="J547" s="37"/>
      <c r="K547" s="45">
        <f t="shared" si="138"/>
        <v>0</v>
      </c>
    </row>
    <row r="548" ht="15.0" customHeight="1">
      <c r="A548" s="39" t="s">
        <v>729</v>
      </c>
      <c r="B548" s="40" t="s">
        <v>22</v>
      </c>
      <c r="C548" s="41">
        <v>24.0</v>
      </c>
      <c r="D548" s="33">
        <v>3.08021604321E12</v>
      </c>
      <c r="E548" s="42">
        <v>0.85</v>
      </c>
      <c r="F548" s="35">
        <v>20.4</v>
      </c>
      <c r="G548" s="36">
        <v>1.0</v>
      </c>
      <c r="H548" s="43">
        <f t="shared" si="136"/>
        <v>0.8916666667</v>
      </c>
      <c r="I548" s="43">
        <f t="shared" si="137"/>
        <v>21.4</v>
      </c>
      <c r="J548" s="37"/>
      <c r="K548" s="45">
        <f t="shared" si="138"/>
        <v>0</v>
      </c>
    </row>
    <row r="549" ht="15.0" customHeight="1">
      <c r="A549" s="39" t="s">
        <v>730</v>
      </c>
      <c r="B549" s="40" t="s">
        <v>22</v>
      </c>
      <c r="C549" s="41">
        <v>24.0</v>
      </c>
      <c r="D549" s="33">
        <v>3.080216017785E12</v>
      </c>
      <c r="E549" s="42">
        <v>1.07</v>
      </c>
      <c r="F549" s="35">
        <v>25.68</v>
      </c>
      <c r="G549" s="36">
        <v>1.0</v>
      </c>
      <c r="H549" s="43">
        <f t="shared" si="136"/>
        <v>1.111666667</v>
      </c>
      <c r="I549" s="43">
        <f t="shared" si="137"/>
        <v>26.68</v>
      </c>
      <c r="J549" s="37"/>
      <c r="K549" s="45">
        <f t="shared" si="138"/>
        <v>0</v>
      </c>
    </row>
    <row r="550" ht="15.0" customHeight="1">
      <c r="A550" s="39" t="s">
        <v>731</v>
      </c>
      <c r="B550" s="40" t="s">
        <v>22</v>
      </c>
      <c r="C550" s="41">
        <v>24.0</v>
      </c>
      <c r="D550" s="33">
        <v>3.261570008934E12</v>
      </c>
      <c r="E550" s="42">
        <v>1.7</v>
      </c>
      <c r="F550" s="35">
        <v>40.8</v>
      </c>
      <c r="G550" s="36">
        <v>1.0</v>
      </c>
      <c r="H550" s="43">
        <f t="shared" si="136"/>
        <v>1.741666667</v>
      </c>
      <c r="I550" s="43">
        <f t="shared" si="137"/>
        <v>41.8</v>
      </c>
      <c r="J550" s="37"/>
      <c r="K550" s="45">
        <f t="shared" si="138"/>
        <v>0</v>
      </c>
    </row>
    <row r="551" ht="15.0" customHeight="1">
      <c r="A551" s="39" t="s">
        <v>732</v>
      </c>
      <c r="B551" s="40" t="s">
        <v>22</v>
      </c>
      <c r="C551" s="41">
        <v>24.0</v>
      </c>
      <c r="D551" s="33">
        <v>5.4121860029E12</v>
      </c>
      <c r="E551" s="42">
        <v>2.35</v>
      </c>
      <c r="F551" s="35">
        <v>56.4</v>
      </c>
      <c r="G551" s="36">
        <v>2.0</v>
      </c>
      <c r="H551" s="43">
        <f t="shared" si="136"/>
        <v>2.433333333</v>
      </c>
      <c r="I551" s="43">
        <f t="shared" si="137"/>
        <v>58.4</v>
      </c>
      <c r="J551" s="37"/>
      <c r="K551" s="45">
        <f t="shared" si="138"/>
        <v>0</v>
      </c>
    </row>
    <row r="552" ht="15.0" customHeight="1">
      <c r="A552" s="39" t="s">
        <v>733</v>
      </c>
      <c r="B552" s="40" t="s">
        <v>22</v>
      </c>
      <c r="C552" s="41">
        <v>24.0</v>
      </c>
      <c r="D552" s="33">
        <v>5.412186005789E12</v>
      </c>
      <c r="E552" s="42">
        <v>2.35</v>
      </c>
      <c r="F552" s="35">
        <v>56.4</v>
      </c>
      <c r="G552" s="36">
        <v>2.0</v>
      </c>
      <c r="H552" s="43">
        <f t="shared" si="136"/>
        <v>2.433333333</v>
      </c>
      <c r="I552" s="43">
        <f t="shared" si="137"/>
        <v>58.4</v>
      </c>
      <c r="J552" s="37"/>
      <c r="K552" s="45">
        <f t="shared" si="138"/>
        <v>0</v>
      </c>
    </row>
    <row r="553" ht="15.0" customHeight="1">
      <c r="A553" s="39" t="s">
        <v>734</v>
      </c>
      <c r="B553" s="40" t="s">
        <v>22</v>
      </c>
      <c r="C553" s="41">
        <v>24.0</v>
      </c>
      <c r="D553" s="33">
        <v>3.261570003847E12</v>
      </c>
      <c r="E553" s="42">
        <v>1.4</v>
      </c>
      <c r="F553" s="35">
        <v>33.6</v>
      </c>
      <c r="G553" s="36">
        <v>2.0</v>
      </c>
      <c r="H553" s="43">
        <f t="shared" si="136"/>
        <v>1.483333333</v>
      </c>
      <c r="I553" s="43">
        <f t="shared" si="137"/>
        <v>35.6</v>
      </c>
      <c r="J553" s="37"/>
      <c r="K553" s="45">
        <f t="shared" si="138"/>
        <v>0</v>
      </c>
    </row>
    <row r="554" ht="15.0" customHeight="1">
      <c r="A554" s="39" t="s">
        <v>735</v>
      </c>
      <c r="B554" s="40" t="s">
        <v>22</v>
      </c>
      <c r="C554" s="41">
        <v>24.0</v>
      </c>
      <c r="D554" s="33">
        <v>3.261570005315E12</v>
      </c>
      <c r="E554" s="42">
        <v>1.4</v>
      </c>
      <c r="F554" s="35">
        <v>33.6</v>
      </c>
      <c r="G554" s="36">
        <v>2.0</v>
      </c>
      <c r="H554" s="43">
        <f t="shared" si="136"/>
        <v>1.483333333</v>
      </c>
      <c r="I554" s="43">
        <f t="shared" si="137"/>
        <v>35.6</v>
      </c>
      <c r="J554" s="37"/>
      <c r="K554" s="45">
        <f t="shared" si="138"/>
        <v>0</v>
      </c>
    </row>
    <row r="555" ht="15.0" customHeight="1">
      <c r="A555" s="39" t="s">
        <v>736</v>
      </c>
      <c r="B555" s="40" t="s">
        <v>22</v>
      </c>
      <c r="C555" s="41">
        <v>24.0</v>
      </c>
      <c r="D555" s="33">
        <v>3.261570007739E12</v>
      </c>
      <c r="E555" s="42">
        <v>1.7</v>
      </c>
      <c r="F555" s="35">
        <v>40.8</v>
      </c>
      <c r="G555" s="36">
        <v>2.0</v>
      </c>
      <c r="H555" s="43">
        <f t="shared" si="136"/>
        <v>1.783333333</v>
      </c>
      <c r="I555" s="43">
        <f t="shared" si="137"/>
        <v>42.8</v>
      </c>
      <c r="J555" s="37"/>
      <c r="K555" s="45">
        <f t="shared" si="138"/>
        <v>0</v>
      </c>
    </row>
    <row r="556" ht="15.0" customHeight="1">
      <c r="A556" s="39" t="s">
        <v>737</v>
      </c>
      <c r="B556" s="40" t="s">
        <v>22</v>
      </c>
      <c r="C556" s="41">
        <v>24.0</v>
      </c>
      <c r="D556" s="33" t="s">
        <v>738</v>
      </c>
      <c r="E556" s="42">
        <v>1.35</v>
      </c>
      <c r="F556" s="35">
        <v>32.4</v>
      </c>
      <c r="G556" s="36">
        <v>2.0</v>
      </c>
      <c r="H556" s="43">
        <f t="shared" si="136"/>
        <v>1.433333333</v>
      </c>
      <c r="I556" s="43">
        <f t="shared" si="137"/>
        <v>34.4</v>
      </c>
      <c r="J556" s="37"/>
      <c r="K556" s="45">
        <f t="shared" si="138"/>
        <v>0</v>
      </c>
    </row>
    <row r="557" ht="15.0" customHeight="1">
      <c r="A557" s="39" t="s">
        <v>739</v>
      </c>
      <c r="B557" s="40" t="s">
        <v>22</v>
      </c>
      <c r="C557" s="41">
        <v>24.0</v>
      </c>
      <c r="D557" s="33">
        <v>3.261570007296E12</v>
      </c>
      <c r="E557" s="42">
        <v>1.57</v>
      </c>
      <c r="F557" s="35">
        <v>37.68</v>
      </c>
      <c r="G557" s="36">
        <v>2.0</v>
      </c>
      <c r="H557" s="43">
        <f t="shared" si="136"/>
        <v>1.653333333</v>
      </c>
      <c r="I557" s="43">
        <f t="shared" si="137"/>
        <v>39.68</v>
      </c>
      <c r="J557" s="37"/>
      <c r="K557" s="45">
        <f t="shared" si="138"/>
        <v>0</v>
      </c>
    </row>
    <row r="558" ht="15.0" customHeight="1">
      <c r="A558" s="39" t="s">
        <v>740</v>
      </c>
      <c r="B558" s="40" t="s">
        <v>22</v>
      </c>
      <c r="C558" s="41">
        <v>24.0</v>
      </c>
      <c r="D558" s="33">
        <v>3.347970000478E12</v>
      </c>
      <c r="E558" s="42">
        <v>1.67</v>
      </c>
      <c r="F558" s="35">
        <v>40.08</v>
      </c>
      <c r="G558" s="36">
        <v>2.0</v>
      </c>
      <c r="H558" s="43">
        <f t="shared" si="136"/>
        <v>1.753333333</v>
      </c>
      <c r="I558" s="43">
        <f t="shared" si="137"/>
        <v>42.08</v>
      </c>
      <c r="J558" s="37"/>
      <c r="K558" s="45">
        <f t="shared" si="138"/>
        <v>0</v>
      </c>
    </row>
    <row r="559" ht="15.0" customHeight="1">
      <c r="A559" s="39" t="s">
        <v>741</v>
      </c>
      <c r="B559" s="40" t="s">
        <v>22</v>
      </c>
      <c r="C559" s="41">
        <v>24.0</v>
      </c>
      <c r="D559" s="33">
        <v>3.261570005643E12</v>
      </c>
      <c r="E559" s="42">
        <v>1.45</v>
      </c>
      <c r="F559" s="35">
        <v>34.8</v>
      </c>
      <c r="G559" s="36">
        <v>2.0</v>
      </c>
      <c r="H559" s="43">
        <f t="shared" si="136"/>
        <v>1.533333333</v>
      </c>
      <c r="I559" s="43">
        <f t="shared" si="137"/>
        <v>36.8</v>
      </c>
      <c r="J559" s="37"/>
      <c r="K559" s="45">
        <f t="shared" si="138"/>
        <v>0</v>
      </c>
    </row>
    <row r="560" ht="15.0" customHeight="1">
      <c r="A560" s="39" t="s">
        <v>742</v>
      </c>
      <c r="B560" s="40" t="s">
        <v>22</v>
      </c>
      <c r="C560" s="41">
        <v>24.0</v>
      </c>
      <c r="D560" s="33">
        <v>3.261570003274E12</v>
      </c>
      <c r="E560" s="42">
        <v>1.65</v>
      </c>
      <c r="F560" s="35">
        <v>39.6</v>
      </c>
      <c r="G560" s="36">
        <v>2.0</v>
      </c>
      <c r="H560" s="43">
        <f t="shared" si="136"/>
        <v>1.733333333</v>
      </c>
      <c r="I560" s="43">
        <f t="shared" si="137"/>
        <v>41.6</v>
      </c>
      <c r="J560" s="37"/>
      <c r="K560" s="45">
        <f t="shared" si="138"/>
        <v>0</v>
      </c>
    </row>
    <row r="561" ht="15.0" customHeight="1">
      <c r="A561" s="39" t="s">
        <v>743</v>
      </c>
      <c r="B561" s="40" t="s">
        <v>22</v>
      </c>
      <c r="C561" s="41">
        <v>18.0</v>
      </c>
      <c r="D561" s="33">
        <v>3.291820013241E12</v>
      </c>
      <c r="E561" s="42">
        <v>1.55</v>
      </c>
      <c r="F561" s="35">
        <v>27.9</v>
      </c>
      <c r="G561" s="36">
        <v>1.0</v>
      </c>
      <c r="H561" s="43">
        <f t="shared" si="136"/>
        <v>1.605555556</v>
      </c>
      <c r="I561" s="43">
        <f t="shared" si="137"/>
        <v>28.9</v>
      </c>
      <c r="J561" s="37"/>
      <c r="K561" s="45">
        <f t="shared" si="138"/>
        <v>0</v>
      </c>
    </row>
    <row r="562" ht="15.0" customHeight="1">
      <c r="A562" s="39" t="s">
        <v>744</v>
      </c>
      <c r="B562" s="40" t="s">
        <v>22</v>
      </c>
      <c r="C562" s="41">
        <v>24.0</v>
      </c>
      <c r="D562" s="33">
        <v>3.080210008116E12</v>
      </c>
      <c r="E562" s="42">
        <v>1.45</v>
      </c>
      <c r="F562" s="35">
        <v>34.8</v>
      </c>
      <c r="G562" s="36">
        <v>2.0</v>
      </c>
      <c r="H562" s="43">
        <f t="shared" si="136"/>
        <v>1.533333333</v>
      </c>
      <c r="I562" s="43">
        <f t="shared" si="137"/>
        <v>36.8</v>
      </c>
      <c r="J562" s="37"/>
      <c r="K562" s="45">
        <f t="shared" si="138"/>
        <v>0</v>
      </c>
    </row>
    <row r="563" ht="15.0" customHeight="1">
      <c r="A563" s="39" t="s">
        <v>745</v>
      </c>
      <c r="B563" s="40" t="s">
        <v>22</v>
      </c>
      <c r="C563" s="41">
        <v>24.0</v>
      </c>
      <c r="D563" s="33">
        <v>5.410228222941E12</v>
      </c>
      <c r="E563" s="42">
        <v>1.45</v>
      </c>
      <c r="F563" s="35">
        <v>34.8</v>
      </c>
      <c r="G563" s="36">
        <v>2.0</v>
      </c>
      <c r="H563" s="43">
        <f t="shared" si="136"/>
        <v>1.533333333</v>
      </c>
      <c r="I563" s="43">
        <f t="shared" si="137"/>
        <v>36.8</v>
      </c>
      <c r="J563" s="37"/>
      <c r="K563" s="45">
        <f t="shared" si="138"/>
        <v>0</v>
      </c>
    </row>
    <row r="564" ht="15.0" customHeight="1">
      <c r="A564" s="39" t="s">
        <v>746</v>
      </c>
      <c r="B564" s="40" t="s">
        <v>22</v>
      </c>
      <c r="C564" s="41">
        <v>24.0</v>
      </c>
      <c r="D564" s="33">
        <v>5.410228213451E12</v>
      </c>
      <c r="E564" s="42">
        <v>1.85</v>
      </c>
      <c r="F564" s="35">
        <v>44.4</v>
      </c>
      <c r="G564" s="36">
        <v>2.0</v>
      </c>
      <c r="H564" s="43">
        <f t="shared" si="136"/>
        <v>1.933333333</v>
      </c>
      <c r="I564" s="43">
        <f t="shared" si="137"/>
        <v>46.4</v>
      </c>
      <c r="J564" s="37"/>
      <c r="K564" s="45">
        <f t="shared" si="138"/>
        <v>0</v>
      </c>
    </row>
    <row r="565" ht="15.0" customHeight="1">
      <c r="A565" s="39" t="s">
        <v>747</v>
      </c>
      <c r="B565" s="40" t="s">
        <v>22</v>
      </c>
      <c r="C565" s="41">
        <v>18.0</v>
      </c>
      <c r="D565" s="33">
        <v>3.291820012251E12</v>
      </c>
      <c r="E565" s="42">
        <v>1.5</v>
      </c>
      <c r="F565" s="35">
        <v>27.0</v>
      </c>
      <c r="G565" s="36">
        <v>1.0</v>
      </c>
      <c r="H565" s="43">
        <f t="shared" si="136"/>
        <v>1.555555556</v>
      </c>
      <c r="I565" s="43">
        <f t="shared" si="137"/>
        <v>28</v>
      </c>
      <c r="J565" s="37"/>
      <c r="K565" s="45">
        <f t="shared" si="138"/>
        <v>0</v>
      </c>
    </row>
    <row r="566" ht="15.0" customHeight="1">
      <c r="A566" s="39" t="s">
        <v>748</v>
      </c>
      <c r="B566" s="40" t="s">
        <v>22</v>
      </c>
      <c r="C566" s="41">
        <v>18.0</v>
      </c>
      <c r="D566" s="33">
        <v>3.29182001293E12</v>
      </c>
      <c r="E566" s="42">
        <v>1.7</v>
      </c>
      <c r="F566" s="35">
        <v>30.6</v>
      </c>
      <c r="G566" s="36">
        <v>1.0</v>
      </c>
      <c r="H566" s="43">
        <f t="shared" si="136"/>
        <v>1.755555556</v>
      </c>
      <c r="I566" s="43">
        <f t="shared" si="137"/>
        <v>31.6</v>
      </c>
      <c r="J566" s="37"/>
      <c r="K566" s="45">
        <f t="shared" si="138"/>
        <v>0</v>
      </c>
    </row>
    <row r="567" ht="15.0" customHeight="1">
      <c r="A567" s="39" t="s">
        <v>749</v>
      </c>
      <c r="B567" s="40" t="s">
        <v>22</v>
      </c>
      <c r="C567" s="41">
        <v>18.0</v>
      </c>
      <c r="D567" s="33">
        <v>3.291820014408E12</v>
      </c>
      <c r="E567" s="42">
        <v>1.8</v>
      </c>
      <c r="F567" s="35">
        <v>32.4</v>
      </c>
      <c r="G567" s="36">
        <v>1.0</v>
      </c>
      <c r="H567" s="43">
        <f t="shared" si="136"/>
        <v>1.855555556</v>
      </c>
      <c r="I567" s="43">
        <f t="shared" si="137"/>
        <v>33.4</v>
      </c>
      <c r="J567" s="37"/>
      <c r="K567" s="45">
        <f t="shared" si="138"/>
        <v>0</v>
      </c>
    </row>
    <row r="568" ht="15.0" customHeight="1">
      <c r="A568" s="39" t="s">
        <v>750</v>
      </c>
      <c r="B568" s="40" t="s">
        <v>22</v>
      </c>
      <c r="C568" s="41">
        <v>24.0</v>
      </c>
      <c r="D568" s="33">
        <v>5.410769800172E12</v>
      </c>
      <c r="E568" s="42">
        <v>2.3</v>
      </c>
      <c r="F568" s="35">
        <v>55.2</v>
      </c>
      <c r="G568" s="36">
        <v>2.0</v>
      </c>
      <c r="H568" s="43">
        <f t="shared" si="136"/>
        <v>2.383333333</v>
      </c>
      <c r="I568" s="43">
        <f t="shared" si="137"/>
        <v>57.2</v>
      </c>
      <c r="J568" s="37"/>
      <c r="K568" s="45">
        <f t="shared" si="138"/>
        <v>0</v>
      </c>
    </row>
    <row r="569" ht="15.0" customHeight="1">
      <c r="A569" s="39" t="s">
        <v>751</v>
      </c>
      <c r="B569" s="40" t="s">
        <v>22</v>
      </c>
      <c r="C569" s="41">
        <v>24.0</v>
      </c>
      <c r="D569" s="33">
        <v>5.41076980053E12</v>
      </c>
      <c r="E569" s="42">
        <v>2.5</v>
      </c>
      <c r="F569" s="35">
        <v>60.0</v>
      </c>
      <c r="G569" s="36">
        <v>2.0</v>
      </c>
      <c r="H569" s="43">
        <f t="shared" si="136"/>
        <v>2.583333333</v>
      </c>
      <c r="I569" s="43">
        <f t="shared" si="137"/>
        <v>62</v>
      </c>
      <c r="J569" s="37"/>
      <c r="K569" s="45">
        <f t="shared" si="138"/>
        <v>0</v>
      </c>
    </row>
    <row r="570" ht="15.0" customHeight="1">
      <c r="A570" s="69" t="s">
        <v>752</v>
      </c>
      <c r="B570" s="40" t="s">
        <v>753</v>
      </c>
      <c r="C570" s="41">
        <v>24.0</v>
      </c>
      <c r="D570" s="70">
        <v>3.760441510014E12</v>
      </c>
      <c r="E570" s="64">
        <v>2.85</v>
      </c>
      <c r="F570" s="57">
        <f t="shared" ref="F570:F574" si="139">C570*E570</f>
        <v>68.4</v>
      </c>
      <c r="G570" s="36">
        <v>2.0</v>
      </c>
      <c r="H570" s="43">
        <f t="shared" si="136"/>
        <v>2.933333333</v>
      </c>
      <c r="I570" s="43">
        <f t="shared" si="137"/>
        <v>70.4</v>
      </c>
      <c r="J570" s="37"/>
      <c r="K570" s="45">
        <f t="shared" si="138"/>
        <v>0</v>
      </c>
    </row>
    <row r="571" ht="15.0" customHeight="1">
      <c r="A571" s="69" t="s">
        <v>754</v>
      </c>
      <c r="B571" s="40" t="s">
        <v>753</v>
      </c>
      <c r="C571" s="41">
        <v>24.0</v>
      </c>
      <c r="D571" s="70">
        <v>3.770012789992E12</v>
      </c>
      <c r="E571" s="64">
        <v>2.85</v>
      </c>
      <c r="F571" s="57">
        <f t="shared" si="139"/>
        <v>68.4</v>
      </c>
      <c r="G571" s="36">
        <v>2.0</v>
      </c>
      <c r="H571" s="43">
        <f t="shared" si="136"/>
        <v>2.933333333</v>
      </c>
      <c r="I571" s="43">
        <f t="shared" si="137"/>
        <v>70.4</v>
      </c>
      <c r="J571" s="37"/>
      <c r="K571" s="45">
        <f t="shared" si="138"/>
        <v>0</v>
      </c>
    </row>
    <row r="572" ht="15.0" customHeight="1">
      <c r="A572" s="69" t="s">
        <v>755</v>
      </c>
      <c r="B572" s="40" t="s">
        <v>753</v>
      </c>
      <c r="C572" s="41">
        <v>24.0</v>
      </c>
      <c r="D572" s="70">
        <v>3.760441510007E12</v>
      </c>
      <c r="E572" s="64">
        <v>2.85</v>
      </c>
      <c r="F572" s="57">
        <f t="shared" si="139"/>
        <v>68.4</v>
      </c>
      <c r="G572" s="36">
        <v>2.0</v>
      </c>
      <c r="H572" s="43">
        <f t="shared" si="136"/>
        <v>2.933333333</v>
      </c>
      <c r="I572" s="43">
        <f t="shared" si="137"/>
        <v>70.4</v>
      </c>
      <c r="J572" s="37"/>
      <c r="K572" s="45">
        <f t="shared" si="138"/>
        <v>0</v>
      </c>
    </row>
    <row r="573" ht="15.0" customHeight="1">
      <c r="A573" s="69" t="s">
        <v>756</v>
      </c>
      <c r="B573" s="40" t="s">
        <v>753</v>
      </c>
      <c r="C573" s="41">
        <v>24.0</v>
      </c>
      <c r="D573" s="70">
        <v>3.760441510021E12</v>
      </c>
      <c r="E573" s="64">
        <v>2.85</v>
      </c>
      <c r="F573" s="57">
        <f t="shared" si="139"/>
        <v>68.4</v>
      </c>
      <c r="G573" s="36">
        <v>2.0</v>
      </c>
      <c r="H573" s="43">
        <f t="shared" si="136"/>
        <v>2.933333333</v>
      </c>
      <c r="I573" s="43">
        <f t="shared" si="137"/>
        <v>70.4</v>
      </c>
      <c r="J573" s="37"/>
      <c r="K573" s="45">
        <f t="shared" si="138"/>
        <v>0</v>
      </c>
    </row>
    <row r="574" ht="15.0" customHeight="1">
      <c r="A574" s="69" t="s">
        <v>757</v>
      </c>
      <c r="B574" s="40" t="s">
        <v>753</v>
      </c>
      <c r="C574" s="41">
        <v>24.0</v>
      </c>
      <c r="D574" s="70">
        <v>3.770012789978E12</v>
      </c>
      <c r="E574" s="64">
        <v>2.85</v>
      </c>
      <c r="F574" s="57">
        <f t="shared" si="139"/>
        <v>68.4</v>
      </c>
      <c r="G574" s="36">
        <v>2.0</v>
      </c>
      <c r="H574" s="43">
        <f t="shared" si="136"/>
        <v>2.933333333</v>
      </c>
      <c r="I574" s="43">
        <f t="shared" si="137"/>
        <v>70.4</v>
      </c>
      <c r="J574" s="37"/>
      <c r="K574" s="45">
        <f t="shared" si="138"/>
        <v>0</v>
      </c>
    </row>
    <row r="575" ht="15.0" customHeight="1">
      <c r="A575" s="30" t="s">
        <v>758</v>
      </c>
      <c r="B575" s="31"/>
      <c r="C575" s="32"/>
      <c r="D575" s="33"/>
      <c r="E575" s="34"/>
      <c r="F575" s="35"/>
      <c r="G575" s="36"/>
      <c r="H575" s="43"/>
      <c r="I575" s="43"/>
      <c r="J575" s="37"/>
      <c r="K575" s="45"/>
    </row>
    <row r="576" ht="15.0" customHeight="1">
      <c r="A576" s="133" t="s">
        <v>759</v>
      </c>
      <c r="B576" s="40" t="s">
        <v>760</v>
      </c>
      <c r="C576" s="41">
        <v>6.0</v>
      </c>
      <c r="D576" s="33">
        <v>3.261570003847E12</v>
      </c>
      <c r="E576" s="42">
        <v>2.15</v>
      </c>
      <c r="F576" s="35">
        <v>12.9</v>
      </c>
      <c r="G576" s="36">
        <v>2.0</v>
      </c>
      <c r="H576" s="43">
        <f t="shared" ref="H576:H583" si="140">I576/C576</f>
        <v>2.483333333</v>
      </c>
      <c r="I576" s="43">
        <f t="shared" ref="I576:I583" si="141">F576+G576</f>
        <v>14.9</v>
      </c>
      <c r="J576" s="37"/>
      <c r="K576" s="45">
        <f t="shared" ref="K576:K583" si="142">I576*J576</f>
        <v>0</v>
      </c>
    </row>
    <row r="577" ht="15.0" customHeight="1">
      <c r="A577" s="133" t="s">
        <v>761</v>
      </c>
      <c r="B577" s="40" t="s">
        <v>760</v>
      </c>
      <c r="C577" s="41">
        <v>6.0</v>
      </c>
      <c r="D577" s="33">
        <v>3.261570004196E12</v>
      </c>
      <c r="E577" s="42">
        <v>2.4</v>
      </c>
      <c r="F577" s="35">
        <v>14.4</v>
      </c>
      <c r="G577" s="36">
        <v>1.0</v>
      </c>
      <c r="H577" s="43">
        <f t="shared" si="140"/>
        <v>2.566666667</v>
      </c>
      <c r="I577" s="43">
        <f t="shared" si="141"/>
        <v>15.4</v>
      </c>
      <c r="J577" s="37"/>
      <c r="K577" s="45">
        <f t="shared" si="142"/>
        <v>0</v>
      </c>
    </row>
    <row r="578" ht="15.0" customHeight="1">
      <c r="A578" s="133" t="s">
        <v>762</v>
      </c>
      <c r="B578" s="40" t="s">
        <v>760</v>
      </c>
      <c r="C578" s="41">
        <v>6.0</v>
      </c>
      <c r="D578" s="33">
        <v>3.261570007401E12</v>
      </c>
      <c r="E578" s="42">
        <v>3.15</v>
      </c>
      <c r="F578" s="35">
        <v>18.9</v>
      </c>
      <c r="G578" s="36">
        <v>1.0</v>
      </c>
      <c r="H578" s="43">
        <f t="shared" si="140"/>
        <v>3.316666667</v>
      </c>
      <c r="I578" s="43">
        <f t="shared" si="141"/>
        <v>19.9</v>
      </c>
      <c r="J578" s="37"/>
      <c r="K578" s="45">
        <f t="shared" si="142"/>
        <v>0</v>
      </c>
    </row>
    <row r="579" ht="15.0" customHeight="1">
      <c r="A579" s="133" t="s">
        <v>763</v>
      </c>
      <c r="B579" s="40" t="s">
        <v>760</v>
      </c>
      <c r="C579" s="41">
        <v>6.0</v>
      </c>
      <c r="D579" s="33">
        <v>3.261570007845E12</v>
      </c>
      <c r="E579" s="42">
        <v>3.15</v>
      </c>
      <c r="F579" s="35">
        <v>18.9</v>
      </c>
      <c r="G579" s="36">
        <v>1.0</v>
      </c>
      <c r="H579" s="43">
        <f t="shared" si="140"/>
        <v>3.316666667</v>
      </c>
      <c r="I579" s="43">
        <f t="shared" si="141"/>
        <v>19.9</v>
      </c>
      <c r="J579" s="37"/>
      <c r="K579" s="45">
        <f t="shared" si="142"/>
        <v>0</v>
      </c>
    </row>
    <row r="580" ht="15.0" customHeight="1">
      <c r="A580" s="133" t="s">
        <v>764</v>
      </c>
      <c r="B580" s="40" t="s">
        <v>760</v>
      </c>
      <c r="C580" s="41">
        <v>6.0</v>
      </c>
      <c r="D580" s="33" t="s">
        <v>765</v>
      </c>
      <c r="E580" s="42">
        <v>2.45</v>
      </c>
      <c r="F580" s="35">
        <v>14.7</v>
      </c>
      <c r="G580" s="36">
        <v>1.0</v>
      </c>
      <c r="H580" s="43">
        <f t="shared" si="140"/>
        <v>2.616666667</v>
      </c>
      <c r="I580" s="43">
        <f t="shared" si="141"/>
        <v>15.7</v>
      </c>
      <c r="J580" s="37"/>
      <c r="K580" s="45">
        <f t="shared" si="142"/>
        <v>0</v>
      </c>
    </row>
    <row r="581" ht="15.0" customHeight="1">
      <c r="A581" s="133" t="s">
        <v>766</v>
      </c>
      <c r="B581" s="40" t="s">
        <v>760</v>
      </c>
      <c r="C581" s="41">
        <v>6.0</v>
      </c>
      <c r="D581" s="33">
        <v>3.261570007029E12</v>
      </c>
      <c r="E581" s="42">
        <v>2.95</v>
      </c>
      <c r="F581" s="35">
        <v>17.7</v>
      </c>
      <c r="G581" s="36">
        <v>1.0</v>
      </c>
      <c r="H581" s="43">
        <f t="shared" si="140"/>
        <v>3.116666667</v>
      </c>
      <c r="I581" s="43">
        <f t="shared" si="141"/>
        <v>18.7</v>
      </c>
      <c r="J581" s="37"/>
      <c r="K581" s="45">
        <f t="shared" si="142"/>
        <v>0</v>
      </c>
    </row>
    <row r="582" ht="15.0" customHeight="1">
      <c r="A582" s="133" t="s">
        <v>767</v>
      </c>
      <c r="B582" s="40" t="s">
        <v>760</v>
      </c>
      <c r="C582" s="41">
        <v>6.0</v>
      </c>
      <c r="D582" s="33">
        <v>3.261570003458E12</v>
      </c>
      <c r="E582" s="42">
        <v>3.3</v>
      </c>
      <c r="F582" s="35">
        <v>19.8</v>
      </c>
      <c r="G582" s="36">
        <v>1.0</v>
      </c>
      <c r="H582" s="43">
        <f t="shared" si="140"/>
        <v>3.466666667</v>
      </c>
      <c r="I582" s="43">
        <f t="shared" si="141"/>
        <v>20.8</v>
      </c>
      <c r="J582" s="37"/>
      <c r="K582" s="45">
        <f t="shared" si="142"/>
        <v>0</v>
      </c>
    </row>
    <row r="583" ht="15.0" customHeight="1">
      <c r="A583" s="133" t="s">
        <v>768</v>
      </c>
      <c r="B583" s="40" t="s">
        <v>760</v>
      </c>
      <c r="C583" s="41">
        <v>6.0</v>
      </c>
      <c r="D583" s="33">
        <v>3.261570006329E12</v>
      </c>
      <c r="E583" s="42">
        <v>3.4</v>
      </c>
      <c r="F583" s="35">
        <v>20.4</v>
      </c>
      <c r="G583" s="36">
        <v>1.0</v>
      </c>
      <c r="H583" s="43">
        <f t="shared" si="140"/>
        <v>3.566666667</v>
      </c>
      <c r="I583" s="43">
        <f t="shared" si="141"/>
        <v>21.4</v>
      </c>
      <c r="J583" s="37"/>
      <c r="K583" s="45">
        <f t="shared" si="142"/>
        <v>0</v>
      </c>
    </row>
    <row r="584" ht="15.0" customHeight="1">
      <c r="A584" s="39"/>
      <c r="B584" s="40"/>
      <c r="C584" s="41"/>
      <c r="D584" s="33"/>
      <c r="E584" s="34"/>
      <c r="F584" s="35"/>
      <c r="G584" s="36"/>
      <c r="H584" s="43"/>
      <c r="I584" s="43"/>
      <c r="J584" s="37"/>
      <c r="K584" s="45"/>
    </row>
    <row r="585" ht="15.0" customHeight="1">
      <c r="A585" s="39" t="s">
        <v>769</v>
      </c>
      <c r="B585" s="40" t="s">
        <v>760</v>
      </c>
      <c r="C585" s="41">
        <v>6.0</v>
      </c>
      <c r="D585" s="33" t="s">
        <v>770</v>
      </c>
      <c r="E585" s="42">
        <v>3.25</v>
      </c>
      <c r="F585" s="35">
        <v>19.5</v>
      </c>
      <c r="G585" s="36">
        <v>2.0</v>
      </c>
      <c r="H585" s="43">
        <f t="shared" ref="H585:H589" si="143">I585/C585</f>
        <v>3.583333333</v>
      </c>
      <c r="I585" s="43">
        <f t="shared" ref="I585:I589" si="144">F585+G585</f>
        <v>21.5</v>
      </c>
      <c r="J585" s="37"/>
      <c r="K585" s="45">
        <f t="shared" ref="K585:K589" si="145">I585*J585</f>
        <v>0</v>
      </c>
    </row>
    <row r="586" ht="15.0" customHeight="1">
      <c r="A586" s="39" t="s">
        <v>771</v>
      </c>
      <c r="B586" s="40" t="s">
        <v>760</v>
      </c>
      <c r="C586" s="41">
        <v>6.0</v>
      </c>
      <c r="D586" s="33">
        <v>3.760138361509E12</v>
      </c>
      <c r="E586" s="42">
        <v>3.35</v>
      </c>
      <c r="F586" s="35">
        <v>20.1</v>
      </c>
      <c r="G586" s="36">
        <v>2.0</v>
      </c>
      <c r="H586" s="43">
        <f t="shared" si="143"/>
        <v>3.683333333</v>
      </c>
      <c r="I586" s="43">
        <f t="shared" si="144"/>
        <v>22.1</v>
      </c>
      <c r="J586" s="37"/>
      <c r="K586" s="45">
        <f t="shared" si="145"/>
        <v>0</v>
      </c>
    </row>
    <row r="587" ht="15.0" customHeight="1">
      <c r="A587" s="39" t="s">
        <v>772</v>
      </c>
      <c r="B587" s="40" t="s">
        <v>760</v>
      </c>
      <c r="C587" s="41">
        <v>6.0</v>
      </c>
      <c r="D587" s="33" t="s">
        <v>773</v>
      </c>
      <c r="E587" s="42">
        <v>3.75</v>
      </c>
      <c r="F587" s="35">
        <v>22.5</v>
      </c>
      <c r="G587" s="36">
        <v>2.0</v>
      </c>
      <c r="H587" s="43">
        <f t="shared" si="143"/>
        <v>4.083333333</v>
      </c>
      <c r="I587" s="43">
        <f t="shared" si="144"/>
        <v>24.5</v>
      </c>
      <c r="J587" s="37"/>
      <c r="K587" s="45">
        <f t="shared" si="145"/>
        <v>0</v>
      </c>
    </row>
    <row r="588" ht="15.0" customHeight="1">
      <c r="A588" s="39" t="s">
        <v>774</v>
      </c>
      <c r="B588" s="40" t="s">
        <v>760</v>
      </c>
      <c r="C588" s="41">
        <v>6.0</v>
      </c>
      <c r="D588" s="33">
        <v>3.760138351968E12</v>
      </c>
      <c r="E588" s="42">
        <v>4.05</v>
      </c>
      <c r="F588" s="35">
        <v>24.3</v>
      </c>
      <c r="G588" s="36">
        <v>2.0</v>
      </c>
      <c r="H588" s="43">
        <f t="shared" si="143"/>
        <v>4.383333333</v>
      </c>
      <c r="I588" s="43">
        <f t="shared" si="144"/>
        <v>26.3</v>
      </c>
      <c r="J588" s="37"/>
      <c r="K588" s="45">
        <f t="shared" si="145"/>
        <v>0</v>
      </c>
    </row>
    <row r="589" ht="15.0" customHeight="1">
      <c r="A589" s="39" t="s">
        <v>775</v>
      </c>
      <c r="B589" s="40" t="s">
        <v>760</v>
      </c>
      <c r="C589" s="41">
        <v>12.0</v>
      </c>
      <c r="D589" s="33">
        <v>3.291820013807E12</v>
      </c>
      <c r="E589" s="42">
        <v>3.3</v>
      </c>
      <c r="F589" s="35">
        <v>39.6</v>
      </c>
      <c r="G589" s="36">
        <v>1.0</v>
      </c>
      <c r="H589" s="43">
        <f t="shared" si="143"/>
        <v>3.383333333</v>
      </c>
      <c r="I589" s="43">
        <f t="shared" si="144"/>
        <v>40.6</v>
      </c>
      <c r="J589" s="37"/>
      <c r="K589" s="45">
        <f t="shared" si="145"/>
        <v>0</v>
      </c>
    </row>
    <row r="590" ht="15.0" customHeight="1">
      <c r="A590" s="39"/>
      <c r="B590" s="31"/>
      <c r="C590" s="32"/>
      <c r="D590" s="33"/>
      <c r="E590" s="34"/>
      <c r="F590" s="35"/>
      <c r="G590" s="36"/>
      <c r="H590" s="43"/>
      <c r="I590" s="43"/>
      <c r="J590" s="37"/>
      <c r="K590" s="45"/>
    </row>
    <row r="591" ht="15.0" customHeight="1">
      <c r="A591" s="39" t="s">
        <v>776</v>
      </c>
      <c r="B591" s="40" t="s">
        <v>760</v>
      </c>
      <c r="C591" s="41">
        <v>12.0</v>
      </c>
      <c r="D591" s="33">
        <v>3.291820009213E12</v>
      </c>
      <c r="E591" s="42">
        <v>2.95</v>
      </c>
      <c r="F591" s="35">
        <v>35.4</v>
      </c>
      <c r="G591" s="36">
        <v>1.0</v>
      </c>
      <c r="H591" s="43">
        <f t="shared" ref="H591:H593" si="146">I591/C591</f>
        <v>3.033333333</v>
      </c>
      <c r="I591" s="43">
        <f t="shared" ref="I591:I593" si="147">F591+G591</f>
        <v>36.4</v>
      </c>
      <c r="J591" s="37"/>
      <c r="K591" s="45">
        <f t="shared" ref="K591:K593" si="148">I591*J591</f>
        <v>0</v>
      </c>
    </row>
    <row r="592" ht="15.0" customHeight="1">
      <c r="A592" s="39" t="s">
        <v>777</v>
      </c>
      <c r="B592" s="40" t="s">
        <v>760</v>
      </c>
      <c r="C592" s="41">
        <v>6.0</v>
      </c>
      <c r="D592" s="33">
        <v>3.291820013012E12</v>
      </c>
      <c r="E592" s="42">
        <v>3.35</v>
      </c>
      <c r="F592" s="35">
        <v>20.1</v>
      </c>
      <c r="G592" s="36">
        <v>1.0</v>
      </c>
      <c r="H592" s="43">
        <f t="shared" si="146"/>
        <v>3.516666667</v>
      </c>
      <c r="I592" s="43">
        <f t="shared" si="147"/>
        <v>21.1</v>
      </c>
      <c r="J592" s="37"/>
      <c r="K592" s="45">
        <f t="shared" si="148"/>
        <v>0</v>
      </c>
    </row>
    <row r="593" ht="15.0" customHeight="1">
      <c r="A593" s="39" t="s">
        <v>778</v>
      </c>
      <c r="B593" s="40" t="s">
        <v>760</v>
      </c>
      <c r="C593" s="41">
        <v>6.0</v>
      </c>
      <c r="D593" s="33">
        <v>3.291820014378E12</v>
      </c>
      <c r="E593" s="42">
        <v>3.35</v>
      </c>
      <c r="F593" s="35">
        <v>20.1</v>
      </c>
      <c r="G593" s="36">
        <v>1.0</v>
      </c>
      <c r="H593" s="43">
        <f t="shared" si="146"/>
        <v>3.516666667</v>
      </c>
      <c r="I593" s="43">
        <f t="shared" si="147"/>
        <v>21.1</v>
      </c>
      <c r="J593" s="37"/>
      <c r="K593" s="45">
        <f t="shared" si="148"/>
        <v>0</v>
      </c>
    </row>
    <row r="594" ht="15.0" customHeight="1">
      <c r="A594" s="39"/>
      <c r="B594" s="40"/>
      <c r="C594" s="41"/>
      <c r="D594" s="33"/>
      <c r="E594" s="34"/>
      <c r="F594" s="35"/>
      <c r="G594" s="36"/>
      <c r="H594" s="43"/>
      <c r="I594" s="43"/>
      <c r="J594" s="37"/>
      <c r="K594" s="45"/>
    </row>
    <row r="595" ht="15.0" customHeight="1">
      <c r="A595" s="39" t="s">
        <v>779</v>
      </c>
      <c r="B595" s="40" t="s">
        <v>760</v>
      </c>
      <c r="C595" s="41">
        <v>12.0</v>
      </c>
      <c r="D595" s="33">
        <v>5.410908000074E12</v>
      </c>
      <c r="E595" s="42">
        <v>4.15</v>
      </c>
      <c r="F595" s="35">
        <v>49.8</v>
      </c>
      <c r="G595" s="36">
        <v>1.0</v>
      </c>
      <c r="H595" s="43">
        <f>I595/C595</f>
        <v>4.233333333</v>
      </c>
      <c r="I595" s="43">
        <f>F595+G595</f>
        <v>50.8</v>
      </c>
      <c r="J595" s="37"/>
      <c r="K595" s="45">
        <f>I595*J595</f>
        <v>0</v>
      </c>
    </row>
    <row r="596" ht="15.0" customHeight="1">
      <c r="A596" s="39"/>
      <c r="B596" s="31"/>
      <c r="C596" s="32"/>
      <c r="D596" s="33"/>
      <c r="E596" s="34"/>
      <c r="F596" s="35"/>
      <c r="G596" s="36"/>
      <c r="H596" s="43"/>
      <c r="I596" s="43"/>
      <c r="J596" s="37"/>
      <c r="K596" s="45"/>
    </row>
    <row r="597" ht="15.0" customHeight="1">
      <c r="A597" s="39" t="s">
        <v>780</v>
      </c>
      <c r="B597" s="40" t="s">
        <v>760</v>
      </c>
      <c r="C597" s="41">
        <v>12.0</v>
      </c>
      <c r="D597" s="33">
        <v>5.410769100098E12</v>
      </c>
      <c r="E597" s="42">
        <v>3.9</v>
      </c>
      <c r="F597" s="35">
        <v>46.8</v>
      </c>
      <c r="G597" s="36">
        <v>1.0</v>
      </c>
      <c r="H597" s="43">
        <f t="shared" ref="H597:H601" si="149">I597/C597</f>
        <v>3.983333333</v>
      </c>
      <c r="I597" s="43">
        <f t="shared" ref="I597:I601" si="150">F597+G597</f>
        <v>47.8</v>
      </c>
      <c r="J597" s="37"/>
      <c r="K597" s="45">
        <f t="shared" ref="K597:K601" si="151">I597*J597</f>
        <v>0</v>
      </c>
    </row>
    <row r="598" ht="15.0" customHeight="1">
      <c r="A598" s="39" t="s">
        <v>781</v>
      </c>
      <c r="B598" s="40" t="s">
        <v>760</v>
      </c>
      <c r="C598" s="41">
        <v>12.0</v>
      </c>
      <c r="D598" s="33">
        <v>5.410769800554E12</v>
      </c>
      <c r="E598" s="42">
        <v>3.95</v>
      </c>
      <c r="F598" s="35">
        <v>47.4</v>
      </c>
      <c r="G598" s="36">
        <v>1.0</v>
      </c>
      <c r="H598" s="43">
        <f t="shared" si="149"/>
        <v>4.033333333</v>
      </c>
      <c r="I598" s="43">
        <f t="shared" si="150"/>
        <v>48.4</v>
      </c>
      <c r="J598" s="37"/>
      <c r="K598" s="45">
        <f t="shared" si="151"/>
        <v>0</v>
      </c>
    </row>
    <row r="599" ht="15.0" customHeight="1">
      <c r="A599" s="39" t="s">
        <v>782</v>
      </c>
      <c r="B599" s="40" t="s">
        <v>760</v>
      </c>
      <c r="C599" s="41">
        <v>12.0</v>
      </c>
      <c r="D599" s="33">
        <v>5.410769300115E12</v>
      </c>
      <c r="E599" s="42">
        <v>4.75</v>
      </c>
      <c r="F599" s="35">
        <v>57.0</v>
      </c>
      <c r="G599" s="36">
        <v>1.0</v>
      </c>
      <c r="H599" s="43">
        <f t="shared" si="149"/>
        <v>4.833333333</v>
      </c>
      <c r="I599" s="43">
        <f t="shared" si="150"/>
        <v>58</v>
      </c>
      <c r="J599" s="37"/>
      <c r="K599" s="45">
        <f t="shared" si="151"/>
        <v>0</v>
      </c>
    </row>
    <row r="600" ht="15.0" customHeight="1">
      <c r="A600" s="39" t="s">
        <v>783</v>
      </c>
      <c r="B600" s="40" t="s">
        <v>760</v>
      </c>
      <c r="C600" s="41">
        <v>12.0</v>
      </c>
      <c r="D600" s="33">
        <v>5.410769200095E12</v>
      </c>
      <c r="E600" s="42">
        <v>4.15</v>
      </c>
      <c r="F600" s="35">
        <v>49.8</v>
      </c>
      <c r="G600" s="36">
        <v>1.0</v>
      </c>
      <c r="H600" s="43">
        <f t="shared" si="149"/>
        <v>4.233333333</v>
      </c>
      <c r="I600" s="43">
        <f t="shared" si="150"/>
        <v>50.8</v>
      </c>
      <c r="J600" s="37"/>
      <c r="K600" s="45">
        <f t="shared" si="151"/>
        <v>0</v>
      </c>
    </row>
    <row r="601" ht="15.0" customHeight="1">
      <c r="A601" s="39" t="s">
        <v>784</v>
      </c>
      <c r="B601" s="40" t="s">
        <v>646</v>
      </c>
      <c r="C601" s="41">
        <v>6.0</v>
      </c>
      <c r="D601" s="33">
        <v>5.410769100999E12</v>
      </c>
      <c r="E601" s="42">
        <v>10.5</v>
      </c>
      <c r="F601" s="35">
        <v>63.0</v>
      </c>
      <c r="G601" s="36">
        <v>1.0</v>
      </c>
      <c r="H601" s="43">
        <f t="shared" si="149"/>
        <v>10.66666667</v>
      </c>
      <c r="I601" s="43">
        <f t="shared" si="150"/>
        <v>64</v>
      </c>
      <c r="J601" s="37"/>
      <c r="K601" s="45">
        <f t="shared" si="151"/>
        <v>0</v>
      </c>
    </row>
    <row r="602" ht="15.0" customHeight="1">
      <c r="A602" s="39"/>
      <c r="B602" s="31"/>
      <c r="C602" s="32"/>
      <c r="D602" s="33"/>
      <c r="E602" s="34"/>
      <c r="F602" s="35"/>
      <c r="G602" s="36"/>
      <c r="H602" s="43"/>
      <c r="I602" s="43"/>
      <c r="J602" s="37"/>
      <c r="K602" s="45"/>
    </row>
    <row r="603" ht="15.0" customHeight="1">
      <c r="A603" s="39" t="s">
        <v>785</v>
      </c>
      <c r="B603" s="40" t="s">
        <v>760</v>
      </c>
      <c r="C603" s="41">
        <v>12.0</v>
      </c>
      <c r="D603" s="33">
        <v>5.411681402635E12</v>
      </c>
      <c r="E603" s="42">
        <v>4.55</v>
      </c>
      <c r="F603" s="35">
        <v>54.6</v>
      </c>
      <c r="G603" s="36">
        <v>1.0</v>
      </c>
      <c r="H603" s="43">
        <f t="shared" ref="H603:H604" si="152">I603/C603</f>
        <v>4.633333333</v>
      </c>
      <c r="I603" s="43">
        <f t="shared" ref="I603:I604" si="153">F603+G603</f>
        <v>55.6</v>
      </c>
      <c r="J603" s="37"/>
      <c r="K603" s="45">
        <f t="shared" ref="K603:K604" si="154">I603*J603</f>
        <v>0</v>
      </c>
    </row>
    <row r="604" ht="15.0" customHeight="1">
      <c r="A604" s="39" t="s">
        <v>786</v>
      </c>
      <c r="B604" s="40" t="s">
        <v>760</v>
      </c>
      <c r="C604" s="41">
        <v>12.0</v>
      </c>
      <c r="D604" s="33">
        <v>5.411681405186E12</v>
      </c>
      <c r="E604" s="42">
        <v>5.5</v>
      </c>
      <c r="F604" s="35">
        <v>66.0</v>
      </c>
      <c r="G604" s="36">
        <v>1.0</v>
      </c>
      <c r="H604" s="43">
        <f t="shared" si="152"/>
        <v>5.583333333</v>
      </c>
      <c r="I604" s="43">
        <f t="shared" si="153"/>
        <v>67</v>
      </c>
      <c r="J604" s="37"/>
      <c r="K604" s="45">
        <f t="shared" si="154"/>
        <v>0</v>
      </c>
    </row>
    <row r="605" ht="15.0" customHeight="1">
      <c r="A605" s="39"/>
      <c r="B605" s="31"/>
      <c r="C605" s="32"/>
      <c r="D605" s="33"/>
      <c r="E605" s="34"/>
      <c r="F605" s="35"/>
      <c r="G605" s="36"/>
      <c r="H605" s="43"/>
      <c r="I605" s="43"/>
      <c r="J605" s="37"/>
      <c r="K605" s="45"/>
    </row>
    <row r="606" ht="15.0" customHeight="1">
      <c r="A606" s="39" t="s">
        <v>787</v>
      </c>
      <c r="B606" s="40" t="s">
        <v>760</v>
      </c>
      <c r="C606" s="41">
        <v>12.0</v>
      </c>
      <c r="D606" s="33">
        <v>5.411681035109E12</v>
      </c>
      <c r="E606" s="42">
        <v>3.75</v>
      </c>
      <c r="F606" s="35">
        <v>45.0</v>
      </c>
      <c r="G606" s="36">
        <v>1.0</v>
      </c>
      <c r="H606" s="43">
        <f t="shared" ref="H606:H607" si="155">I606/C606</f>
        <v>3.833333333</v>
      </c>
      <c r="I606" s="43">
        <f t="shared" ref="I606:I607" si="156">F606+G606</f>
        <v>46</v>
      </c>
      <c r="J606" s="37"/>
      <c r="K606" s="45">
        <f t="shared" ref="K606:K607" si="157">I606*J606</f>
        <v>0</v>
      </c>
    </row>
    <row r="607" ht="15.0" customHeight="1">
      <c r="A607" s="39" t="s">
        <v>788</v>
      </c>
      <c r="B607" s="40" t="s">
        <v>760</v>
      </c>
      <c r="C607" s="41">
        <v>12.0</v>
      </c>
      <c r="D607" s="33">
        <v>5.411681038056E12</v>
      </c>
      <c r="E607" s="42">
        <v>4.35</v>
      </c>
      <c r="F607" s="35">
        <v>52.2</v>
      </c>
      <c r="G607" s="36">
        <v>1.0</v>
      </c>
      <c r="H607" s="43">
        <f t="shared" si="155"/>
        <v>4.433333333</v>
      </c>
      <c r="I607" s="43">
        <f t="shared" si="156"/>
        <v>53.2</v>
      </c>
      <c r="J607" s="37"/>
      <c r="K607" s="45">
        <f t="shared" si="157"/>
        <v>0</v>
      </c>
    </row>
    <row r="608" ht="15.0" customHeight="1">
      <c r="A608" s="39"/>
      <c r="B608" s="31"/>
      <c r="C608" s="32"/>
      <c r="D608" s="33"/>
      <c r="E608" s="34"/>
      <c r="F608" s="35"/>
      <c r="G608" s="36"/>
      <c r="H608" s="43"/>
      <c r="I608" s="43"/>
      <c r="J608" s="37"/>
      <c r="K608" s="45"/>
    </row>
    <row r="609" ht="15.0" customHeight="1">
      <c r="A609" s="39" t="s">
        <v>789</v>
      </c>
      <c r="B609" s="40" t="s">
        <v>790</v>
      </c>
      <c r="C609" s="41">
        <v>12.0</v>
      </c>
      <c r="D609" s="33">
        <v>5.411223006161E12</v>
      </c>
      <c r="E609" s="42">
        <v>2.75</v>
      </c>
      <c r="F609" s="35">
        <v>33.0</v>
      </c>
      <c r="G609" s="36">
        <v>1.0</v>
      </c>
      <c r="H609" s="43">
        <f t="shared" ref="H609:H610" si="158">I609/C609</f>
        <v>2.833333333</v>
      </c>
      <c r="I609" s="43">
        <f t="shared" ref="I609:I610" si="159">F609+G609</f>
        <v>34</v>
      </c>
      <c r="J609" s="37"/>
      <c r="K609" s="45">
        <f t="shared" ref="K609:K610" si="160">I609*J609</f>
        <v>0</v>
      </c>
    </row>
    <row r="610" ht="15.0" customHeight="1">
      <c r="A610" s="39" t="s">
        <v>791</v>
      </c>
      <c r="B610" s="40" t="s">
        <v>790</v>
      </c>
      <c r="C610" s="41">
        <v>12.0</v>
      </c>
      <c r="D610" s="33">
        <v>5.41122310092E12</v>
      </c>
      <c r="E610" s="42">
        <v>3.15</v>
      </c>
      <c r="F610" s="35">
        <v>37.8</v>
      </c>
      <c r="G610" s="36">
        <v>1.0</v>
      </c>
      <c r="H610" s="43">
        <f t="shared" si="158"/>
        <v>3.233333333</v>
      </c>
      <c r="I610" s="43">
        <f t="shared" si="159"/>
        <v>38.8</v>
      </c>
      <c r="J610" s="37"/>
      <c r="K610" s="45">
        <f t="shared" si="160"/>
        <v>0</v>
      </c>
    </row>
    <row r="611" ht="15.0" customHeight="1">
      <c r="A611" s="39"/>
      <c r="B611" s="31"/>
      <c r="C611" s="32"/>
      <c r="D611" s="33"/>
      <c r="E611" s="34"/>
      <c r="F611" s="35"/>
      <c r="G611" s="36"/>
      <c r="H611" s="43"/>
      <c r="I611" s="43"/>
      <c r="J611" s="37"/>
      <c r="K611" s="45"/>
    </row>
    <row r="612" ht="15.0" customHeight="1">
      <c r="A612" s="39" t="s">
        <v>792</v>
      </c>
      <c r="B612" s="40" t="s">
        <v>760</v>
      </c>
      <c r="C612" s="41">
        <v>6.0</v>
      </c>
      <c r="D612" s="33">
        <v>5.410228222958E12</v>
      </c>
      <c r="E612" s="42">
        <v>2.2</v>
      </c>
      <c r="F612" s="35">
        <v>13.2</v>
      </c>
      <c r="G612" s="36">
        <v>1.0</v>
      </c>
      <c r="H612" s="43">
        <f t="shared" ref="H612:H613" si="161">I612/C612</f>
        <v>2.366666667</v>
      </c>
      <c r="I612" s="43">
        <f t="shared" ref="I612:I613" si="162">F612+G612</f>
        <v>14.2</v>
      </c>
      <c r="J612" s="37"/>
      <c r="K612" s="45">
        <f t="shared" ref="K612:K613" si="163">I612*J612</f>
        <v>0</v>
      </c>
    </row>
    <row r="613" ht="15.0" customHeight="1">
      <c r="A613" s="39" t="s">
        <v>793</v>
      </c>
      <c r="B613" s="40" t="s">
        <v>760</v>
      </c>
      <c r="C613" s="41">
        <v>6.0</v>
      </c>
      <c r="D613" s="33">
        <v>5.410228195825E12</v>
      </c>
      <c r="E613" s="42">
        <v>2.45</v>
      </c>
      <c r="F613" s="35">
        <v>14.7</v>
      </c>
      <c r="G613" s="36">
        <v>1.0</v>
      </c>
      <c r="H613" s="43">
        <f t="shared" si="161"/>
        <v>2.616666667</v>
      </c>
      <c r="I613" s="43">
        <f t="shared" si="162"/>
        <v>15.7</v>
      </c>
      <c r="J613" s="37"/>
      <c r="K613" s="45">
        <f t="shared" si="163"/>
        <v>0</v>
      </c>
    </row>
    <row r="614" ht="15.0" customHeight="1">
      <c r="A614" s="39"/>
      <c r="B614" s="31"/>
      <c r="C614" s="32"/>
      <c r="D614" s="33"/>
      <c r="E614" s="34"/>
      <c r="F614" s="35"/>
      <c r="G614" s="36"/>
      <c r="H614" s="43"/>
      <c r="I614" s="43"/>
      <c r="J614" s="37"/>
      <c r="K614" s="45"/>
    </row>
    <row r="615" ht="15.0" customHeight="1">
      <c r="A615" s="39" t="s">
        <v>794</v>
      </c>
      <c r="B615" s="40" t="s">
        <v>760</v>
      </c>
      <c r="C615" s="41">
        <v>6.0</v>
      </c>
      <c r="D615" s="33">
        <v>3.261570009184E12</v>
      </c>
      <c r="E615" s="42">
        <v>3.15</v>
      </c>
      <c r="F615" s="35">
        <v>18.9</v>
      </c>
      <c r="G615" s="36">
        <v>1.0</v>
      </c>
      <c r="H615" s="43">
        <f t="shared" ref="H615:H628" si="164">I615/C615</f>
        <v>3.316666667</v>
      </c>
      <c r="I615" s="43">
        <f t="shared" ref="I615:I628" si="165">F615+G615</f>
        <v>19.9</v>
      </c>
      <c r="J615" s="37"/>
      <c r="K615" s="45">
        <f t="shared" ref="K615:K628" si="166">I615*J615</f>
        <v>0</v>
      </c>
    </row>
    <row r="616" ht="15.0" customHeight="1">
      <c r="A616" s="39" t="s">
        <v>795</v>
      </c>
      <c r="B616" s="40" t="s">
        <v>760</v>
      </c>
      <c r="C616" s="41">
        <v>12.0</v>
      </c>
      <c r="D616" s="33">
        <v>3.291820013036E12</v>
      </c>
      <c r="E616" s="42">
        <v>3.15</v>
      </c>
      <c r="F616" s="35">
        <v>37.8</v>
      </c>
      <c r="G616" s="36">
        <v>1.0</v>
      </c>
      <c r="H616" s="43">
        <f t="shared" si="164"/>
        <v>3.233333333</v>
      </c>
      <c r="I616" s="43">
        <f t="shared" si="165"/>
        <v>38.8</v>
      </c>
      <c r="J616" s="37"/>
      <c r="K616" s="45">
        <f t="shared" si="166"/>
        <v>0</v>
      </c>
    </row>
    <row r="617" ht="15.0" customHeight="1">
      <c r="A617" s="39" t="s">
        <v>796</v>
      </c>
      <c r="B617" s="40" t="s">
        <v>760</v>
      </c>
      <c r="C617" s="41">
        <v>6.0</v>
      </c>
      <c r="D617" s="33">
        <v>3.34797000027E12</v>
      </c>
      <c r="E617" s="42">
        <v>3.35</v>
      </c>
      <c r="F617" s="35">
        <v>20.1</v>
      </c>
      <c r="G617" s="36">
        <v>1.0</v>
      </c>
      <c r="H617" s="43">
        <f t="shared" si="164"/>
        <v>3.516666667</v>
      </c>
      <c r="I617" s="43">
        <f t="shared" si="165"/>
        <v>21.1</v>
      </c>
      <c r="J617" s="37"/>
      <c r="K617" s="45">
        <f t="shared" si="166"/>
        <v>0</v>
      </c>
    </row>
    <row r="618" ht="15.0" customHeight="1">
      <c r="A618" s="39" t="s">
        <v>797</v>
      </c>
      <c r="B618" s="40" t="s">
        <v>790</v>
      </c>
      <c r="C618" s="41">
        <v>12.0</v>
      </c>
      <c r="D618" s="33">
        <v>3.119780268788E12</v>
      </c>
      <c r="E618" s="42">
        <v>1.56</v>
      </c>
      <c r="F618" s="35">
        <v>18.72</v>
      </c>
      <c r="G618" s="36">
        <v>1.0</v>
      </c>
      <c r="H618" s="43">
        <f t="shared" si="164"/>
        <v>1.643333333</v>
      </c>
      <c r="I618" s="43">
        <f t="shared" si="165"/>
        <v>19.72</v>
      </c>
      <c r="J618" s="37"/>
      <c r="K618" s="45">
        <f t="shared" si="166"/>
        <v>0</v>
      </c>
    </row>
    <row r="619" ht="15.0" customHeight="1">
      <c r="A619" s="39" t="s">
        <v>798</v>
      </c>
      <c r="B619" s="40" t="s">
        <v>790</v>
      </c>
      <c r="C619" s="41">
        <v>12.0</v>
      </c>
      <c r="D619" s="33">
        <v>3.119780266463E12</v>
      </c>
      <c r="E619" s="42">
        <v>2.55</v>
      </c>
      <c r="F619" s="35">
        <v>30.6</v>
      </c>
      <c r="G619" s="36">
        <v>1.0</v>
      </c>
      <c r="H619" s="43">
        <f t="shared" si="164"/>
        <v>2.633333333</v>
      </c>
      <c r="I619" s="43">
        <f t="shared" si="165"/>
        <v>31.6</v>
      </c>
      <c r="J619" s="37"/>
      <c r="K619" s="45">
        <f t="shared" si="166"/>
        <v>0</v>
      </c>
    </row>
    <row r="620" ht="15.0" customHeight="1">
      <c r="A620" s="69" t="s">
        <v>799</v>
      </c>
      <c r="B620" s="40" t="s">
        <v>800</v>
      </c>
      <c r="C620" s="41">
        <v>6.0</v>
      </c>
      <c r="D620" s="70">
        <v>5.410316947053E12</v>
      </c>
      <c r="E620" s="71">
        <v>2.8</v>
      </c>
      <c r="F620" s="57">
        <f>C620*E620</f>
        <v>16.8</v>
      </c>
      <c r="G620" s="36">
        <v>1.0</v>
      </c>
      <c r="H620" s="43">
        <f t="shared" si="164"/>
        <v>2.966666667</v>
      </c>
      <c r="I620" s="43">
        <f t="shared" si="165"/>
        <v>17.8</v>
      </c>
      <c r="J620" s="37"/>
      <c r="K620" s="45">
        <f t="shared" si="166"/>
        <v>0</v>
      </c>
    </row>
    <row r="621" ht="15.0" customHeight="1">
      <c r="A621" s="39" t="s">
        <v>801</v>
      </c>
      <c r="B621" s="40" t="s">
        <v>760</v>
      </c>
      <c r="C621" s="41">
        <v>6.0</v>
      </c>
      <c r="D621" s="33">
        <v>3.324020303758E12</v>
      </c>
      <c r="E621" s="42">
        <v>2.25</v>
      </c>
      <c r="F621" s="35">
        <v>13.5</v>
      </c>
      <c r="G621" s="36">
        <v>1.0</v>
      </c>
      <c r="H621" s="43">
        <f t="shared" si="164"/>
        <v>2.416666667</v>
      </c>
      <c r="I621" s="43">
        <f t="shared" si="165"/>
        <v>14.5</v>
      </c>
      <c r="J621" s="37"/>
      <c r="K621" s="45">
        <f t="shared" si="166"/>
        <v>0</v>
      </c>
    </row>
    <row r="622" ht="15.0" customHeight="1">
      <c r="A622" s="39" t="s">
        <v>802</v>
      </c>
      <c r="B622" s="40" t="s">
        <v>760</v>
      </c>
      <c r="C622" s="41">
        <v>6.0</v>
      </c>
      <c r="D622" s="33">
        <v>3.27246012023E12</v>
      </c>
      <c r="E622" s="42">
        <v>2.25</v>
      </c>
      <c r="F622" s="35">
        <v>13.5</v>
      </c>
      <c r="G622" s="36">
        <v>1.0</v>
      </c>
      <c r="H622" s="43">
        <f t="shared" si="164"/>
        <v>2.416666667</v>
      </c>
      <c r="I622" s="43">
        <f t="shared" si="165"/>
        <v>14.5</v>
      </c>
      <c r="J622" s="37"/>
      <c r="K622" s="45">
        <f t="shared" si="166"/>
        <v>0</v>
      </c>
    </row>
    <row r="623" ht="15.0" customHeight="1">
      <c r="A623" s="39" t="s">
        <v>803</v>
      </c>
      <c r="B623" s="40" t="s">
        <v>760</v>
      </c>
      <c r="C623" s="41">
        <v>6.0</v>
      </c>
      <c r="D623" s="33">
        <v>5.410693100553E12</v>
      </c>
      <c r="E623" s="42">
        <v>3.9</v>
      </c>
      <c r="F623" s="35">
        <v>23.4</v>
      </c>
      <c r="G623" s="36">
        <v>1.0</v>
      </c>
      <c r="H623" s="43">
        <f t="shared" si="164"/>
        <v>4.066666667</v>
      </c>
      <c r="I623" s="43">
        <f t="shared" si="165"/>
        <v>24.4</v>
      </c>
      <c r="J623" s="37"/>
      <c r="K623" s="45">
        <f t="shared" si="166"/>
        <v>0</v>
      </c>
    </row>
    <row r="624" ht="15.0" customHeight="1">
      <c r="A624" s="39" t="s">
        <v>804</v>
      </c>
      <c r="B624" s="40" t="s">
        <v>760</v>
      </c>
      <c r="C624" s="41">
        <v>6.0</v>
      </c>
      <c r="D624" s="33">
        <v>5.410693100539E12</v>
      </c>
      <c r="E624" s="42">
        <v>3.8</v>
      </c>
      <c r="F624" s="35">
        <v>22.8</v>
      </c>
      <c r="G624" s="36">
        <v>1.0</v>
      </c>
      <c r="H624" s="43">
        <f t="shared" si="164"/>
        <v>3.966666667</v>
      </c>
      <c r="I624" s="43">
        <f t="shared" si="165"/>
        <v>23.8</v>
      </c>
      <c r="J624" s="37"/>
      <c r="K624" s="45">
        <f t="shared" si="166"/>
        <v>0</v>
      </c>
    </row>
    <row r="625" ht="15.0" customHeight="1">
      <c r="A625" s="69" t="s">
        <v>805</v>
      </c>
      <c r="B625" s="40" t="s">
        <v>22</v>
      </c>
      <c r="C625" s="41">
        <v>12.0</v>
      </c>
      <c r="D625" s="70">
        <v>3.77001278951E12</v>
      </c>
      <c r="E625" s="64">
        <v>2.65</v>
      </c>
      <c r="F625" s="57">
        <f t="shared" ref="F625:F628" si="167">C625*E625</f>
        <v>31.8</v>
      </c>
      <c r="G625" s="36">
        <v>1.0</v>
      </c>
      <c r="H625" s="43">
        <f t="shared" si="164"/>
        <v>2.733333333</v>
      </c>
      <c r="I625" s="43">
        <f t="shared" si="165"/>
        <v>32.8</v>
      </c>
      <c r="J625" s="37"/>
      <c r="K625" s="45">
        <f t="shared" si="166"/>
        <v>0</v>
      </c>
    </row>
    <row r="626" ht="15.0" customHeight="1">
      <c r="A626" s="69" t="s">
        <v>806</v>
      </c>
      <c r="B626" s="40" t="s">
        <v>22</v>
      </c>
      <c r="C626" s="41">
        <v>12.0</v>
      </c>
      <c r="D626" s="70">
        <v>3.770012789459E12</v>
      </c>
      <c r="E626" s="64">
        <v>2.65</v>
      </c>
      <c r="F626" s="57">
        <f t="shared" si="167"/>
        <v>31.8</v>
      </c>
      <c r="G626" s="36">
        <v>1.0</v>
      </c>
      <c r="H626" s="43">
        <f t="shared" si="164"/>
        <v>2.733333333</v>
      </c>
      <c r="I626" s="43">
        <f t="shared" si="165"/>
        <v>32.8</v>
      </c>
      <c r="J626" s="37"/>
      <c r="K626" s="45">
        <f t="shared" si="166"/>
        <v>0</v>
      </c>
    </row>
    <row r="627" ht="15.0" customHeight="1">
      <c r="A627" s="69" t="s">
        <v>807</v>
      </c>
      <c r="B627" s="40" t="s">
        <v>22</v>
      </c>
      <c r="C627" s="41">
        <v>12.0</v>
      </c>
      <c r="D627" s="70">
        <v>3.760441510038E12</v>
      </c>
      <c r="E627" s="64">
        <v>2.65</v>
      </c>
      <c r="F627" s="57">
        <f t="shared" si="167"/>
        <v>31.8</v>
      </c>
      <c r="G627" s="36">
        <v>1.0</v>
      </c>
      <c r="H627" s="43">
        <f t="shared" si="164"/>
        <v>2.733333333</v>
      </c>
      <c r="I627" s="43">
        <f t="shared" si="165"/>
        <v>32.8</v>
      </c>
      <c r="J627" s="37"/>
      <c r="K627" s="45">
        <f t="shared" si="166"/>
        <v>0</v>
      </c>
    </row>
    <row r="628" ht="15.0" customHeight="1">
      <c r="A628" s="69" t="s">
        <v>808</v>
      </c>
      <c r="B628" s="40" t="s">
        <v>22</v>
      </c>
      <c r="C628" s="41">
        <v>12.0</v>
      </c>
      <c r="D628" s="70">
        <v>3.770012789848E12</v>
      </c>
      <c r="E628" s="64">
        <v>2.65</v>
      </c>
      <c r="F628" s="57">
        <f t="shared" si="167"/>
        <v>31.8</v>
      </c>
      <c r="G628" s="36">
        <v>1.0</v>
      </c>
      <c r="H628" s="43">
        <f t="shared" si="164"/>
        <v>2.733333333</v>
      </c>
      <c r="I628" s="43">
        <f t="shared" si="165"/>
        <v>32.8</v>
      </c>
      <c r="J628" s="37"/>
      <c r="K628" s="45">
        <f t="shared" si="166"/>
        <v>0</v>
      </c>
    </row>
    <row r="629" ht="15.0" customHeight="1">
      <c r="A629" s="30" t="s">
        <v>809</v>
      </c>
      <c r="B629" s="31"/>
      <c r="C629" s="32"/>
      <c r="D629" s="33"/>
      <c r="E629" s="34"/>
      <c r="F629" s="35"/>
      <c r="G629" s="36"/>
      <c r="H629" s="43"/>
      <c r="I629" s="43"/>
      <c r="J629" s="37"/>
      <c r="K629" s="45"/>
    </row>
    <row r="630" ht="15.0" customHeight="1">
      <c r="A630" s="39" t="s">
        <v>810</v>
      </c>
      <c r="B630" s="40" t="s">
        <v>153</v>
      </c>
      <c r="C630" s="41">
        <v>24.0</v>
      </c>
      <c r="D630" s="33">
        <v>3.261570000723E12</v>
      </c>
      <c r="E630" s="42">
        <v>1.15</v>
      </c>
      <c r="F630" s="35">
        <v>27.6</v>
      </c>
      <c r="G630" s="36">
        <v>1.0</v>
      </c>
      <c r="H630" s="43">
        <f t="shared" ref="H630:H640" si="168">I630/C630</f>
        <v>1.191666667</v>
      </c>
      <c r="I630" s="43">
        <f t="shared" ref="I630:I640" si="169">F630+G630</f>
        <v>28.6</v>
      </c>
      <c r="J630" s="37"/>
      <c r="K630" s="45">
        <f t="shared" ref="K630:K640" si="170">I630*J630</f>
        <v>0</v>
      </c>
    </row>
    <row r="631" ht="15.0" customHeight="1">
      <c r="A631" s="39" t="s">
        <v>811</v>
      </c>
      <c r="B631" s="40" t="s">
        <v>153</v>
      </c>
      <c r="C631" s="41">
        <v>24.0</v>
      </c>
      <c r="D631" s="33">
        <v>3.261570005278E12</v>
      </c>
      <c r="E631" s="42">
        <v>1.25</v>
      </c>
      <c r="F631" s="35">
        <v>30.0</v>
      </c>
      <c r="G631" s="36">
        <v>1.0</v>
      </c>
      <c r="H631" s="43">
        <f t="shared" si="168"/>
        <v>1.291666667</v>
      </c>
      <c r="I631" s="43">
        <f t="shared" si="169"/>
        <v>31</v>
      </c>
      <c r="J631" s="37"/>
      <c r="K631" s="45">
        <f t="shared" si="170"/>
        <v>0</v>
      </c>
    </row>
    <row r="632" ht="15.0" customHeight="1">
      <c r="A632" s="39" t="s">
        <v>812</v>
      </c>
      <c r="B632" s="40" t="s">
        <v>153</v>
      </c>
      <c r="C632" s="41">
        <v>24.0</v>
      </c>
      <c r="D632" s="33">
        <v>3.261570004516E12</v>
      </c>
      <c r="E632" s="42">
        <v>1.4</v>
      </c>
      <c r="F632" s="35">
        <v>33.6</v>
      </c>
      <c r="G632" s="36">
        <v>1.0</v>
      </c>
      <c r="H632" s="43">
        <f t="shared" si="168"/>
        <v>1.441666667</v>
      </c>
      <c r="I632" s="43">
        <f t="shared" si="169"/>
        <v>34.6</v>
      </c>
      <c r="J632" s="37"/>
      <c r="K632" s="45">
        <f t="shared" si="170"/>
        <v>0</v>
      </c>
    </row>
    <row r="633" ht="15.0" customHeight="1">
      <c r="A633" s="39" t="s">
        <v>813</v>
      </c>
      <c r="B633" s="40" t="s">
        <v>153</v>
      </c>
      <c r="C633" s="41">
        <v>24.0</v>
      </c>
      <c r="D633" s="33">
        <v>5.411681014005E12</v>
      </c>
      <c r="E633" s="42">
        <v>1.5</v>
      </c>
      <c r="F633" s="35">
        <v>36.0</v>
      </c>
      <c r="G633" s="36">
        <v>1.0</v>
      </c>
      <c r="H633" s="43">
        <f t="shared" si="168"/>
        <v>1.541666667</v>
      </c>
      <c r="I633" s="43">
        <f t="shared" si="169"/>
        <v>37</v>
      </c>
      <c r="J633" s="37"/>
      <c r="K633" s="45">
        <f t="shared" si="170"/>
        <v>0</v>
      </c>
    </row>
    <row r="634" ht="15.0" customHeight="1">
      <c r="A634" s="39" t="s">
        <v>814</v>
      </c>
      <c r="B634" s="40" t="s">
        <v>153</v>
      </c>
      <c r="C634" s="41">
        <v>24.0</v>
      </c>
      <c r="D634" s="33">
        <v>5.411681401164E12</v>
      </c>
      <c r="E634" s="42">
        <v>1.95</v>
      </c>
      <c r="F634" s="35">
        <v>46.8</v>
      </c>
      <c r="G634" s="36">
        <v>1.0</v>
      </c>
      <c r="H634" s="43">
        <f t="shared" si="168"/>
        <v>1.991666667</v>
      </c>
      <c r="I634" s="43">
        <f t="shared" si="169"/>
        <v>47.8</v>
      </c>
      <c r="J634" s="37"/>
      <c r="K634" s="45">
        <f t="shared" si="170"/>
        <v>0</v>
      </c>
    </row>
    <row r="635" ht="15.0" customHeight="1">
      <c r="A635" s="39" t="s">
        <v>815</v>
      </c>
      <c r="B635" s="40" t="s">
        <v>153</v>
      </c>
      <c r="C635" s="41">
        <v>24.0</v>
      </c>
      <c r="D635" s="33">
        <v>5.410769100081E12</v>
      </c>
      <c r="E635" s="42">
        <v>1.6</v>
      </c>
      <c r="F635" s="35">
        <v>38.4</v>
      </c>
      <c r="G635" s="36">
        <v>1.0</v>
      </c>
      <c r="H635" s="43">
        <f t="shared" si="168"/>
        <v>1.641666667</v>
      </c>
      <c r="I635" s="43">
        <f t="shared" si="169"/>
        <v>39.4</v>
      </c>
      <c r="J635" s="37"/>
      <c r="K635" s="45">
        <f t="shared" si="170"/>
        <v>0</v>
      </c>
    </row>
    <row r="636" ht="15.0" customHeight="1">
      <c r="A636" s="39" t="s">
        <v>816</v>
      </c>
      <c r="B636" s="40" t="s">
        <v>153</v>
      </c>
      <c r="C636" s="41">
        <v>24.0</v>
      </c>
      <c r="D636" s="33">
        <v>5.410769800097E12</v>
      </c>
      <c r="E636" s="42">
        <v>1.75</v>
      </c>
      <c r="F636" s="35">
        <v>42.0</v>
      </c>
      <c r="G636" s="36">
        <v>1.0</v>
      </c>
      <c r="H636" s="43">
        <f t="shared" si="168"/>
        <v>1.791666667</v>
      </c>
      <c r="I636" s="43">
        <f t="shared" si="169"/>
        <v>43</v>
      </c>
      <c r="J636" s="37"/>
      <c r="K636" s="45">
        <f t="shared" si="170"/>
        <v>0</v>
      </c>
    </row>
    <row r="637" ht="15.0" customHeight="1">
      <c r="A637" s="39" t="s">
        <v>817</v>
      </c>
      <c r="B637" s="40" t="s">
        <v>153</v>
      </c>
      <c r="C637" s="41">
        <v>24.0</v>
      </c>
      <c r="D637" s="33">
        <v>3.347970000249E12</v>
      </c>
      <c r="E637" s="42">
        <v>1.45</v>
      </c>
      <c r="F637" s="35">
        <v>34.8</v>
      </c>
      <c r="G637" s="36">
        <v>1.0</v>
      </c>
      <c r="H637" s="43">
        <f t="shared" si="168"/>
        <v>1.491666667</v>
      </c>
      <c r="I637" s="43">
        <f t="shared" si="169"/>
        <v>35.8</v>
      </c>
      <c r="J637" s="37"/>
      <c r="K637" s="45">
        <f t="shared" si="170"/>
        <v>0</v>
      </c>
    </row>
    <row r="638" ht="15.0" customHeight="1">
      <c r="A638" s="39" t="s">
        <v>818</v>
      </c>
      <c r="B638" s="40" t="s">
        <v>153</v>
      </c>
      <c r="C638" s="41">
        <v>24.0</v>
      </c>
      <c r="D638" s="33">
        <v>5.411081003654E12</v>
      </c>
      <c r="E638" s="42">
        <v>1.7</v>
      </c>
      <c r="F638" s="35">
        <v>40.8</v>
      </c>
      <c r="G638" s="36">
        <v>1.0</v>
      </c>
      <c r="H638" s="43">
        <f t="shared" si="168"/>
        <v>1.741666667</v>
      </c>
      <c r="I638" s="43">
        <f t="shared" si="169"/>
        <v>41.8</v>
      </c>
      <c r="J638" s="37"/>
      <c r="K638" s="45">
        <f t="shared" si="170"/>
        <v>0</v>
      </c>
    </row>
    <row r="639" ht="15.0" customHeight="1">
      <c r="A639" s="39" t="s">
        <v>819</v>
      </c>
      <c r="B639" s="40" t="s">
        <v>153</v>
      </c>
      <c r="C639" s="41">
        <v>24.0</v>
      </c>
      <c r="D639" s="33">
        <v>5.410908000012E12</v>
      </c>
      <c r="E639" s="42">
        <v>1.6</v>
      </c>
      <c r="F639" s="35">
        <v>38.4</v>
      </c>
      <c r="G639" s="36">
        <v>1.0</v>
      </c>
      <c r="H639" s="43">
        <f t="shared" si="168"/>
        <v>1.641666667</v>
      </c>
      <c r="I639" s="43">
        <f t="shared" si="169"/>
        <v>39.4</v>
      </c>
      <c r="J639" s="37"/>
      <c r="K639" s="45">
        <f t="shared" si="170"/>
        <v>0</v>
      </c>
    </row>
    <row r="640" ht="15.0" customHeight="1">
      <c r="A640" s="39" t="s">
        <v>820</v>
      </c>
      <c r="B640" s="40" t="s">
        <v>153</v>
      </c>
      <c r="C640" s="41">
        <v>24.0</v>
      </c>
      <c r="D640" s="33">
        <v>5.410908000036E12</v>
      </c>
      <c r="E640" s="42">
        <v>1.9</v>
      </c>
      <c r="F640" s="35">
        <v>45.6</v>
      </c>
      <c r="G640" s="36">
        <v>1.0</v>
      </c>
      <c r="H640" s="43">
        <f t="shared" si="168"/>
        <v>1.941666667</v>
      </c>
      <c r="I640" s="43">
        <f t="shared" si="169"/>
        <v>46.6</v>
      </c>
      <c r="J640" s="37"/>
      <c r="K640" s="45">
        <f t="shared" si="170"/>
        <v>0</v>
      </c>
    </row>
    <row r="641" ht="15.0" customHeight="1">
      <c r="A641" s="30" t="s">
        <v>821</v>
      </c>
      <c r="B641" s="31"/>
      <c r="C641" s="32"/>
      <c r="D641" s="33"/>
      <c r="E641" s="34"/>
      <c r="F641" s="35"/>
      <c r="G641" s="36"/>
      <c r="H641" s="43"/>
      <c r="I641" s="43"/>
      <c r="J641" s="37"/>
      <c r="K641" s="45"/>
    </row>
    <row r="642" ht="15.0" customHeight="1">
      <c r="A642" s="39" t="s">
        <v>822</v>
      </c>
      <c r="B642" s="40" t="s">
        <v>16</v>
      </c>
      <c r="C642" s="41">
        <v>24.0</v>
      </c>
      <c r="D642" s="33">
        <v>8.714800052559E12</v>
      </c>
      <c r="E642" s="42">
        <v>0.75</v>
      </c>
      <c r="F642" s="35">
        <v>18.0</v>
      </c>
      <c r="G642" s="36">
        <v>1.0</v>
      </c>
      <c r="H642" s="43">
        <f t="shared" ref="H642:H657" si="171">I642/C642</f>
        <v>0.7916666667</v>
      </c>
      <c r="I642" s="43">
        <f t="shared" ref="I642:I657" si="172">F642+G642</f>
        <v>19</v>
      </c>
      <c r="J642" s="37"/>
      <c r="K642" s="45">
        <f t="shared" ref="K642:K657" si="173">I642*J642</f>
        <v>0</v>
      </c>
    </row>
    <row r="643" ht="15.0" customHeight="1">
      <c r="A643" s="39" t="s">
        <v>823</v>
      </c>
      <c r="B643" s="40" t="s">
        <v>16</v>
      </c>
      <c r="C643" s="41">
        <v>24.0</v>
      </c>
      <c r="D643" s="33">
        <v>3.26157000916E12</v>
      </c>
      <c r="E643" s="42">
        <v>0.85</v>
      </c>
      <c r="F643" s="35">
        <v>20.4</v>
      </c>
      <c r="G643" s="36">
        <v>1.0</v>
      </c>
      <c r="H643" s="43">
        <f t="shared" si="171"/>
        <v>0.8916666667</v>
      </c>
      <c r="I643" s="43">
        <f t="shared" si="172"/>
        <v>21.4</v>
      </c>
      <c r="J643" s="37"/>
      <c r="K643" s="45">
        <f t="shared" si="173"/>
        <v>0</v>
      </c>
    </row>
    <row r="644" ht="15.0" customHeight="1">
      <c r="A644" s="39" t="s">
        <v>824</v>
      </c>
      <c r="B644" s="40" t="s">
        <v>16</v>
      </c>
      <c r="C644" s="41">
        <v>24.0</v>
      </c>
      <c r="D644" s="33">
        <v>3.261570001546E12</v>
      </c>
      <c r="E644" s="42">
        <v>0.66666</v>
      </c>
      <c r="F644" s="35">
        <v>16.0</v>
      </c>
      <c r="G644" s="36">
        <v>1.0</v>
      </c>
      <c r="H644" s="43">
        <f t="shared" si="171"/>
        <v>0.7083333333</v>
      </c>
      <c r="I644" s="43">
        <f t="shared" si="172"/>
        <v>17</v>
      </c>
      <c r="J644" s="37"/>
      <c r="K644" s="45">
        <f t="shared" si="173"/>
        <v>0</v>
      </c>
    </row>
    <row r="645" ht="15.0" customHeight="1">
      <c r="A645" s="39" t="s">
        <v>825</v>
      </c>
      <c r="B645" s="40" t="s">
        <v>16</v>
      </c>
      <c r="C645" s="41">
        <v>24.0</v>
      </c>
      <c r="D645" s="33">
        <v>3.261570004189E12</v>
      </c>
      <c r="E645" s="42">
        <v>0.666666</v>
      </c>
      <c r="F645" s="35">
        <v>16.0</v>
      </c>
      <c r="G645" s="36">
        <v>1.0</v>
      </c>
      <c r="H645" s="43">
        <f t="shared" si="171"/>
        <v>0.7083333333</v>
      </c>
      <c r="I645" s="43">
        <f t="shared" si="172"/>
        <v>17</v>
      </c>
      <c r="J645" s="37"/>
      <c r="K645" s="45">
        <f t="shared" si="173"/>
        <v>0</v>
      </c>
    </row>
    <row r="646" ht="15.0" customHeight="1">
      <c r="A646" s="39" t="s">
        <v>826</v>
      </c>
      <c r="B646" s="40" t="s">
        <v>16</v>
      </c>
      <c r="C646" s="41">
        <v>24.0</v>
      </c>
      <c r="D646" s="33">
        <v>3.261570007012E12</v>
      </c>
      <c r="E646" s="42">
        <v>0.8</v>
      </c>
      <c r="F646" s="35">
        <v>19.4</v>
      </c>
      <c r="G646" s="36">
        <v>1.0</v>
      </c>
      <c r="H646" s="43">
        <f t="shared" si="171"/>
        <v>0.85</v>
      </c>
      <c r="I646" s="43">
        <f t="shared" si="172"/>
        <v>20.4</v>
      </c>
      <c r="J646" s="37"/>
      <c r="K646" s="45">
        <f t="shared" si="173"/>
        <v>0</v>
      </c>
    </row>
    <row r="647" ht="15.0" customHeight="1">
      <c r="A647" s="39" t="s">
        <v>827</v>
      </c>
      <c r="B647" s="40" t="s">
        <v>16</v>
      </c>
      <c r="C647" s="41">
        <v>24.0</v>
      </c>
      <c r="D647" s="33">
        <v>3.261570008804E12</v>
      </c>
      <c r="E647" s="42">
        <v>0.791666</v>
      </c>
      <c r="F647" s="35">
        <v>19.0</v>
      </c>
      <c r="G647" s="36">
        <v>1.0</v>
      </c>
      <c r="H647" s="43">
        <f t="shared" si="171"/>
        <v>0.8333333333</v>
      </c>
      <c r="I647" s="43">
        <f t="shared" si="172"/>
        <v>20</v>
      </c>
      <c r="J647" s="37"/>
      <c r="K647" s="45">
        <f t="shared" si="173"/>
        <v>0</v>
      </c>
    </row>
    <row r="648" ht="15.0" customHeight="1">
      <c r="A648" s="39" t="s">
        <v>828</v>
      </c>
      <c r="B648" s="40" t="s">
        <v>16</v>
      </c>
      <c r="C648" s="41">
        <v>24.0</v>
      </c>
      <c r="D648" s="33">
        <v>3.261570007005E12</v>
      </c>
      <c r="E648" s="42">
        <v>0.6583333</v>
      </c>
      <c r="F648" s="35">
        <v>15.8</v>
      </c>
      <c r="G648" s="36">
        <v>1.0</v>
      </c>
      <c r="H648" s="43">
        <f t="shared" si="171"/>
        <v>0.7</v>
      </c>
      <c r="I648" s="43">
        <f t="shared" si="172"/>
        <v>16.8</v>
      </c>
      <c r="J648" s="37"/>
      <c r="K648" s="45">
        <f t="shared" si="173"/>
        <v>0</v>
      </c>
    </row>
    <row r="649" ht="15.0" customHeight="1">
      <c r="A649" s="39" t="s">
        <v>829</v>
      </c>
      <c r="B649" s="40" t="s">
        <v>16</v>
      </c>
      <c r="C649" s="41">
        <v>24.0</v>
      </c>
      <c r="D649" s="33">
        <v>3.261570007869E12</v>
      </c>
      <c r="E649" s="42">
        <v>0.791666</v>
      </c>
      <c r="F649" s="35">
        <v>19.0</v>
      </c>
      <c r="G649" s="36">
        <v>1.0</v>
      </c>
      <c r="H649" s="43">
        <f t="shared" si="171"/>
        <v>0.8333333333</v>
      </c>
      <c r="I649" s="43">
        <f t="shared" si="172"/>
        <v>20</v>
      </c>
      <c r="J649" s="37"/>
      <c r="K649" s="45">
        <f t="shared" si="173"/>
        <v>0</v>
      </c>
    </row>
    <row r="650" ht="15.0" customHeight="1">
      <c r="A650" s="39" t="s">
        <v>830</v>
      </c>
      <c r="B650" s="40" t="s">
        <v>16</v>
      </c>
      <c r="C650" s="41">
        <v>24.0</v>
      </c>
      <c r="D650" s="33">
        <v>3.261570007883E12</v>
      </c>
      <c r="E650" s="42">
        <v>0.583333</v>
      </c>
      <c r="F650" s="35">
        <v>14.0</v>
      </c>
      <c r="G650" s="36">
        <v>1.0</v>
      </c>
      <c r="H650" s="43">
        <f t="shared" si="171"/>
        <v>0.625</v>
      </c>
      <c r="I650" s="43">
        <f t="shared" si="172"/>
        <v>15</v>
      </c>
      <c r="J650" s="37"/>
      <c r="K650" s="45">
        <f t="shared" si="173"/>
        <v>0</v>
      </c>
    </row>
    <row r="651" ht="15.0" customHeight="1">
      <c r="A651" s="39" t="s">
        <v>831</v>
      </c>
      <c r="B651" s="40" t="s">
        <v>16</v>
      </c>
      <c r="C651" s="41">
        <v>24.0</v>
      </c>
      <c r="D651" s="33">
        <v>3.261570008248E12</v>
      </c>
      <c r="E651" s="42">
        <v>0.65</v>
      </c>
      <c r="F651" s="35">
        <v>15.8</v>
      </c>
      <c r="G651" s="36">
        <v>1.0</v>
      </c>
      <c r="H651" s="43">
        <f t="shared" si="171"/>
        <v>0.7</v>
      </c>
      <c r="I651" s="43">
        <f t="shared" si="172"/>
        <v>16.8</v>
      </c>
      <c r="J651" s="37"/>
      <c r="K651" s="45">
        <f t="shared" si="173"/>
        <v>0</v>
      </c>
    </row>
    <row r="652" ht="15.0" customHeight="1">
      <c r="A652" s="39" t="s">
        <v>832</v>
      </c>
      <c r="B652" s="40" t="s">
        <v>16</v>
      </c>
      <c r="C652" s="41">
        <v>20.0</v>
      </c>
      <c r="D652" s="33">
        <v>3.264062400018E12</v>
      </c>
      <c r="E652" s="42">
        <v>0.375</v>
      </c>
      <c r="F652" s="35">
        <v>9.0</v>
      </c>
      <c r="G652" s="36">
        <v>1.0</v>
      </c>
      <c r="H652" s="43">
        <f t="shared" si="171"/>
        <v>0.5</v>
      </c>
      <c r="I652" s="43">
        <f t="shared" si="172"/>
        <v>10</v>
      </c>
      <c r="J652" s="37"/>
      <c r="K652" s="45">
        <f t="shared" si="173"/>
        <v>0</v>
      </c>
    </row>
    <row r="653" ht="15.0" customHeight="1">
      <c r="A653" s="39" t="s">
        <v>833</v>
      </c>
      <c r="B653" s="40" t="s">
        <v>16</v>
      </c>
      <c r="C653" s="41">
        <v>20.0</v>
      </c>
      <c r="D653" s="33">
        <v>3.162330060134E12</v>
      </c>
      <c r="E653" s="42">
        <v>0.29583</v>
      </c>
      <c r="F653" s="35">
        <v>7.1</v>
      </c>
      <c r="G653" s="36">
        <v>1.0</v>
      </c>
      <c r="H653" s="43">
        <f t="shared" si="171"/>
        <v>0.405</v>
      </c>
      <c r="I653" s="43">
        <f t="shared" si="172"/>
        <v>8.1</v>
      </c>
      <c r="J653" s="37"/>
      <c r="K653" s="45">
        <f t="shared" si="173"/>
        <v>0</v>
      </c>
    </row>
    <row r="654" ht="15.0" customHeight="1">
      <c r="A654" s="39" t="s">
        <v>834</v>
      </c>
      <c r="B654" s="40" t="s">
        <v>16</v>
      </c>
      <c r="C654" s="41">
        <v>24.0</v>
      </c>
      <c r="D654" s="33">
        <v>3.162330060066E12</v>
      </c>
      <c r="E654" s="42">
        <v>0.416666</v>
      </c>
      <c r="F654" s="35">
        <v>10.0</v>
      </c>
      <c r="G654" s="36">
        <v>1.0</v>
      </c>
      <c r="H654" s="43">
        <f t="shared" si="171"/>
        <v>0.4583333333</v>
      </c>
      <c r="I654" s="43">
        <f t="shared" si="172"/>
        <v>11</v>
      </c>
      <c r="J654" s="37"/>
      <c r="K654" s="45">
        <f t="shared" si="173"/>
        <v>0</v>
      </c>
    </row>
    <row r="655" ht="15.0" customHeight="1">
      <c r="A655" s="39" t="s">
        <v>835</v>
      </c>
      <c r="B655" s="40" t="s">
        <v>16</v>
      </c>
      <c r="C655" s="41">
        <v>24.0</v>
      </c>
      <c r="D655" s="33">
        <v>3.162330060295E12</v>
      </c>
      <c r="E655" s="42">
        <v>0.516666</v>
      </c>
      <c r="F655" s="35">
        <v>12.4</v>
      </c>
      <c r="G655" s="36">
        <v>1.0</v>
      </c>
      <c r="H655" s="43">
        <f t="shared" si="171"/>
        <v>0.5583333333</v>
      </c>
      <c r="I655" s="43">
        <f t="shared" si="172"/>
        <v>13.4</v>
      </c>
      <c r="J655" s="37"/>
      <c r="K655" s="45">
        <f t="shared" si="173"/>
        <v>0</v>
      </c>
    </row>
    <row r="656" ht="15.0" customHeight="1">
      <c r="A656" s="39" t="s">
        <v>836</v>
      </c>
      <c r="B656" s="40" t="s">
        <v>16</v>
      </c>
      <c r="C656" s="41">
        <v>24.0</v>
      </c>
      <c r="D656" s="33">
        <v>3.162330062503E12</v>
      </c>
      <c r="E656" s="42">
        <v>0.5166666</v>
      </c>
      <c r="F656" s="35">
        <v>12.4</v>
      </c>
      <c r="G656" s="36">
        <v>1.0</v>
      </c>
      <c r="H656" s="43">
        <f t="shared" si="171"/>
        <v>0.5583333333</v>
      </c>
      <c r="I656" s="43">
        <f t="shared" si="172"/>
        <v>13.4</v>
      </c>
      <c r="J656" s="37"/>
      <c r="K656" s="45">
        <f t="shared" si="173"/>
        <v>0</v>
      </c>
    </row>
    <row r="657" ht="15.0" customHeight="1">
      <c r="A657" s="39" t="s">
        <v>837</v>
      </c>
      <c r="B657" s="40" t="s">
        <v>16</v>
      </c>
      <c r="C657" s="41">
        <v>20.0</v>
      </c>
      <c r="D657" s="33">
        <v>3.26157000789E12</v>
      </c>
      <c r="E657" s="42">
        <v>0.6275</v>
      </c>
      <c r="F657" s="35">
        <v>12.55</v>
      </c>
      <c r="G657" s="36">
        <v>1.0</v>
      </c>
      <c r="H657" s="43">
        <f t="shared" si="171"/>
        <v>0.6775</v>
      </c>
      <c r="I657" s="43">
        <f t="shared" si="172"/>
        <v>13.55</v>
      </c>
      <c r="J657" s="37"/>
      <c r="K657" s="45">
        <f t="shared" si="173"/>
        <v>0</v>
      </c>
    </row>
    <row r="658" ht="15.0" customHeight="1">
      <c r="A658" s="30" t="s">
        <v>838</v>
      </c>
      <c r="B658" s="31"/>
      <c r="C658" s="32"/>
      <c r="D658" s="33"/>
      <c r="E658" s="34"/>
      <c r="F658" s="35"/>
      <c r="G658" s="36"/>
      <c r="H658" s="43"/>
      <c r="I658" s="43"/>
      <c r="J658" s="37"/>
      <c r="K658" s="45"/>
    </row>
    <row r="659" ht="15.0" customHeight="1">
      <c r="A659" s="39" t="s">
        <v>839</v>
      </c>
      <c r="B659" s="40" t="s">
        <v>840</v>
      </c>
      <c r="C659" s="41">
        <v>2.0</v>
      </c>
      <c r="D659" s="33">
        <v>3.261570002086E12</v>
      </c>
      <c r="E659" s="42">
        <v>24.5</v>
      </c>
      <c r="F659" s="35">
        <v>49.0</v>
      </c>
      <c r="G659" s="36">
        <v>2.0</v>
      </c>
      <c r="H659" s="43">
        <f t="shared" ref="H659:H660" si="174">I659/C659</f>
        <v>25.5</v>
      </c>
      <c r="I659" s="43">
        <f t="shared" ref="I659:I660" si="175">F659+G659</f>
        <v>51</v>
      </c>
      <c r="J659" s="37"/>
      <c r="K659" s="45">
        <f t="shared" ref="K659:K660" si="176">I659*J659</f>
        <v>0</v>
      </c>
    </row>
    <row r="660" ht="15.0" customHeight="1">
      <c r="A660" s="39" t="s">
        <v>841</v>
      </c>
      <c r="B660" s="40" t="s">
        <v>840</v>
      </c>
      <c r="C660" s="41">
        <v>2.0</v>
      </c>
      <c r="D660" s="33">
        <v>3.261570008361E12</v>
      </c>
      <c r="E660" s="42">
        <v>23.75</v>
      </c>
      <c r="F660" s="35">
        <v>47.5</v>
      </c>
      <c r="G660" s="36">
        <v>2.0</v>
      </c>
      <c r="H660" s="43">
        <f t="shared" si="174"/>
        <v>24.75</v>
      </c>
      <c r="I660" s="43">
        <f t="shared" si="175"/>
        <v>49.5</v>
      </c>
      <c r="J660" s="37"/>
      <c r="K660" s="45">
        <f t="shared" si="176"/>
        <v>0</v>
      </c>
    </row>
    <row r="661" ht="15.0" customHeight="1">
      <c r="A661" s="30" t="s">
        <v>842</v>
      </c>
      <c r="B661" s="31"/>
      <c r="C661" s="32"/>
      <c r="D661" s="33"/>
      <c r="E661" s="34"/>
      <c r="F661" s="35"/>
      <c r="G661" s="36"/>
      <c r="H661" s="43"/>
      <c r="I661" s="43"/>
      <c r="J661" s="37"/>
      <c r="K661" s="45"/>
    </row>
    <row r="662" ht="15.0" customHeight="1">
      <c r="A662" s="39" t="s">
        <v>843</v>
      </c>
      <c r="B662" s="40" t="s">
        <v>16</v>
      </c>
      <c r="C662" s="41">
        <v>24.0</v>
      </c>
      <c r="D662" s="134">
        <v>3.080216050621E12</v>
      </c>
      <c r="E662" s="42">
        <v>0.74</v>
      </c>
      <c r="F662" s="35">
        <v>18.6</v>
      </c>
      <c r="G662" s="36">
        <v>1.0</v>
      </c>
      <c r="H662" s="43">
        <f t="shared" ref="H662:H676" si="177">I662/C662</f>
        <v>0.8166666667</v>
      </c>
      <c r="I662" s="43">
        <f t="shared" ref="I662:I676" si="178">F662+G662</f>
        <v>19.6</v>
      </c>
      <c r="J662" s="37"/>
      <c r="K662" s="45">
        <f t="shared" ref="K662:K676" si="179">I662*J662</f>
        <v>0</v>
      </c>
    </row>
    <row r="663" ht="15.0" customHeight="1">
      <c r="A663" s="39" t="s">
        <v>844</v>
      </c>
      <c r="B663" s="40" t="s">
        <v>153</v>
      </c>
      <c r="C663" s="135">
        <v>24.0</v>
      </c>
      <c r="D663" s="33">
        <v>3.119780256136E12</v>
      </c>
      <c r="E663" s="136">
        <v>1.25</v>
      </c>
      <c r="F663" s="35">
        <v>30.0</v>
      </c>
      <c r="G663" s="36">
        <v>1.0</v>
      </c>
      <c r="H663" s="43">
        <f t="shared" si="177"/>
        <v>1.291666667</v>
      </c>
      <c r="I663" s="43">
        <f t="shared" si="178"/>
        <v>31</v>
      </c>
      <c r="J663" s="37"/>
      <c r="K663" s="45">
        <f t="shared" si="179"/>
        <v>0</v>
      </c>
    </row>
    <row r="664" ht="15.0" customHeight="1">
      <c r="A664" s="39" t="s">
        <v>845</v>
      </c>
      <c r="B664" s="40" t="s">
        <v>153</v>
      </c>
      <c r="C664" s="135">
        <v>24.0</v>
      </c>
      <c r="D664" s="33">
        <v>3.119789830108E12</v>
      </c>
      <c r="E664" s="136">
        <v>1.25</v>
      </c>
      <c r="F664" s="35">
        <v>30.0</v>
      </c>
      <c r="G664" s="36">
        <v>1.0</v>
      </c>
      <c r="H664" s="43">
        <f t="shared" si="177"/>
        <v>1.291666667</v>
      </c>
      <c r="I664" s="43">
        <f t="shared" si="178"/>
        <v>31</v>
      </c>
      <c r="J664" s="37"/>
      <c r="K664" s="45">
        <f t="shared" si="179"/>
        <v>0</v>
      </c>
    </row>
    <row r="665" ht="15.0" customHeight="1">
      <c r="A665" s="39" t="s">
        <v>846</v>
      </c>
      <c r="B665" s="40" t="s">
        <v>153</v>
      </c>
      <c r="C665" s="41">
        <v>12.0</v>
      </c>
      <c r="D665" s="137" t="s">
        <v>847</v>
      </c>
      <c r="E665" s="42">
        <v>1.08333</v>
      </c>
      <c r="F665" s="35">
        <v>13.0</v>
      </c>
      <c r="G665" s="36">
        <v>1.0</v>
      </c>
      <c r="H665" s="43">
        <f t="shared" si="177"/>
        <v>1.166666667</v>
      </c>
      <c r="I665" s="43">
        <f t="shared" si="178"/>
        <v>14</v>
      </c>
      <c r="J665" s="37"/>
      <c r="K665" s="45">
        <f t="shared" si="179"/>
        <v>0</v>
      </c>
    </row>
    <row r="666" ht="15.0" customHeight="1">
      <c r="A666" s="133" t="s">
        <v>848</v>
      </c>
      <c r="B666" s="40" t="s">
        <v>153</v>
      </c>
      <c r="C666" s="41">
        <v>12.0</v>
      </c>
      <c r="D666" s="33">
        <v>3.119780261635E12</v>
      </c>
      <c r="E666" s="42">
        <v>1.0833</v>
      </c>
      <c r="F666" s="35">
        <v>13.0</v>
      </c>
      <c r="G666" s="36">
        <v>1.0</v>
      </c>
      <c r="H666" s="43">
        <f t="shared" si="177"/>
        <v>1.166666667</v>
      </c>
      <c r="I666" s="43">
        <f t="shared" si="178"/>
        <v>14</v>
      </c>
      <c r="J666" s="37"/>
      <c r="K666" s="45">
        <f t="shared" si="179"/>
        <v>0</v>
      </c>
    </row>
    <row r="667" ht="15.0" customHeight="1">
      <c r="A667" s="133" t="s">
        <v>849</v>
      </c>
      <c r="B667" s="40" t="s">
        <v>16</v>
      </c>
      <c r="C667" s="41">
        <v>24.0</v>
      </c>
      <c r="D667" s="33">
        <v>3.119780268306E12</v>
      </c>
      <c r="E667" s="42">
        <v>0.625</v>
      </c>
      <c r="F667" s="35">
        <v>15.0</v>
      </c>
      <c r="G667" s="36">
        <v>1.0</v>
      </c>
      <c r="H667" s="43">
        <f t="shared" si="177"/>
        <v>0.6666666667</v>
      </c>
      <c r="I667" s="43">
        <f t="shared" si="178"/>
        <v>16</v>
      </c>
      <c r="J667" s="37"/>
      <c r="K667" s="45">
        <f t="shared" si="179"/>
        <v>0</v>
      </c>
    </row>
    <row r="668" ht="15.0" customHeight="1">
      <c r="A668" s="39" t="s">
        <v>850</v>
      </c>
      <c r="B668" s="40" t="s">
        <v>16</v>
      </c>
      <c r="C668" s="41">
        <v>12.0</v>
      </c>
      <c r="D668" s="33">
        <v>3.119780259069E12</v>
      </c>
      <c r="E668" s="42">
        <v>0.55</v>
      </c>
      <c r="F668" s="35">
        <v>6.6</v>
      </c>
      <c r="G668" s="36">
        <v>1.0</v>
      </c>
      <c r="H668" s="43">
        <f t="shared" si="177"/>
        <v>0.6333333333</v>
      </c>
      <c r="I668" s="43">
        <f t="shared" si="178"/>
        <v>7.6</v>
      </c>
      <c r="J668" s="37"/>
      <c r="K668" s="45">
        <f t="shared" si="179"/>
        <v>0</v>
      </c>
    </row>
    <row r="669" ht="15.0" customHeight="1">
      <c r="A669" s="39" t="s">
        <v>851</v>
      </c>
      <c r="B669" s="40" t="s">
        <v>16</v>
      </c>
      <c r="C669" s="41">
        <v>20.0</v>
      </c>
      <c r="D669" s="33">
        <v>3.119780268276E12</v>
      </c>
      <c r="E669" s="42">
        <v>0.53</v>
      </c>
      <c r="F669" s="35">
        <v>10.6</v>
      </c>
      <c r="G669" s="36">
        <v>1.0</v>
      </c>
      <c r="H669" s="43">
        <f t="shared" si="177"/>
        <v>0.58</v>
      </c>
      <c r="I669" s="43">
        <f t="shared" si="178"/>
        <v>11.6</v>
      </c>
      <c r="J669" s="37"/>
      <c r="K669" s="45">
        <f t="shared" si="179"/>
        <v>0</v>
      </c>
    </row>
    <row r="670" ht="15.0" customHeight="1">
      <c r="A670" s="39" t="s">
        <v>852</v>
      </c>
      <c r="B670" s="40" t="s">
        <v>16</v>
      </c>
      <c r="C670" s="41">
        <v>24.0</v>
      </c>
      <c r="D670" s="33">
        <v>3.11978024612E12</v>
      </c>
      <c r="E670" s="42">
        <v>0.52</v>
      </c>
      <c r="F670" s="35">
        <v>12.5</v>
      </c>
      <c r="G670" s="36">
        <v>1.0</v>
      </c>
      <c r="H670" s="43">
        <f t="shared" si="177"/>
        <v>0.5625</v>
      </c>
      <c r="I670" s="43">
        <f t="shared" si="178"/>
        <v>13.5</v>
      </c>
      <c r="J670" s="37"/>
      <c r="K670" s="45">
        <f t="shared" si="179"/>
        <v>0</v>
      </c>
    </row>
    <row r="671" ht="15.0" customHeight="1">
      <c r="A671" s="138" t="s">
        <v>853</v>
      </c>
      <c r="B671" s="40" t="s">
        <v>16</v>
      </c>
      <c r="C671" s="41">
        <v>20.0</v>
      </c>
      <c r="D671" s="139" t="s">
        <v>854</v>
      </c>
      <c r="E671" s="42">
        <v>5.55</v>
      </c>
      <c r="F671" s="35">
        <v>11.1</v>
      </c>
      <c r="G671" s="36">
        <v>1.0</v>
      </c>
      <c r="H671" s="43">
        <f t="shared" si="177"/>
        <v>0.605</v>
      </c>
      <c r="I671" s="43">
        <f t="shared" si="178"/>
        <v>12.1</v>
      </c>
      <c r="J671" s="37"/>
      <c r="K671" s="45">
        <f t="shared" si="179"/>
        <v>0</v>
      </c>
    </row>
    <row r="672" ht="15.0" customHeight="1">
      <c r="A672" s="48" t="s">
        <v>855</v>
      </c>
      <c r="B672" s="40" t="s">
        <v>16</v>
      </c>
      <c r="C672" s="41">
        <v>24.0</v>
      </c>
      <c r="D672" s="33">
        <v>5.410228233077E12</v>
      </c>
      <c r="E672" s="42">
        <v>0.75833</v>
      </c>
      <c r="F672" s="35">
        <v>18.2</v>
      </c>
      <c r="G672" s="36">
        <v>1.0</v>
      </c>
      <c r="H672" s="43">
        <f t="shared" si="177"/>
        <v>0.8</v>
      </c>
      <c r="I672" s="43">
        <f t="shared" si="178"/>
        <v>19.2</v>
      </c>
      <c r="J672" s="37"/>
      <c r="K672" s="45">
        <f t="shared" si="179"/>
        <v>0</v>
      </c>
    </row>
    <row r="673" ht="15.0" customHeight="1">
      <c r="A673" s="48" t="s">
        <v>856</v>
      </c>
      <c r="B673" s="40" t="s">
        <v>16</v>
      </c>
      <c r="C673" s="41">
        <v>24.0</v>
      </c>
      <c r="D673" s="33">
        <v>5.410228195832E12</v>
      </c>
      <c r="E673" s="42">
        <v>0.875</v>
      </c>
      <c r="F673" s="35">
        <v>21.0</v>
      </c>
      <c r="G673" s="36">
        <v>1.0</v>
      </c>
      <c r="H673" s="43">
        <f t="shared" si="177"/>
        <v>0.9166666667</v>
      </c>
      <c r="I673" s="43">
        <f t="shared" si="178"/>
        <v>22</v>
      </c>
      <c r="J673" s="37"/>
      <c r="K673" s="45">
        <f t="shared" si="179"/>
        <v>0</v>
      </c>
    </row>
    <row r="674" ht="15.0" customHeight="1">
      <c r="A674" s="52" t="s">
        <v>857</v>
      </c>
      <c r="B674" s="58" t="s">
        <v>16</v>
      </c>
      <c r="C674" s="58">
        <v>24.0</v>
      </c>
      <c r="D674" s="51" t="s">
        <v>858</v>
      </c>
      <c r="E674" s="42">
        <v>4.95</v>
      </c>
      <c r="F674" s="35">
        <v>19.8</v>
      </c>
      <c r="G674" s="36">
        <v>1.0</v>
      </c>
      <c r="H674" s="43">
        <f t="shared" si="177"/>
        <v>0.8666666667</v>
      </c>
      <c r="I674" s="43">
        <f t="shared" si="178"/>
        <v>20.8</v>
      </c>
      <c r="J674" s="37"/>
      <c r="K674" s="45">
        <f t="shared" si="179"/>
        <v>0</v>
      </c>
    </row>
    <row r="675" ht="15.0" customHeight="1">
      <c r="A675" s="39" t="s">
        <v>859</v>
      </c>
      <c r="B675" s="40" t="s">
        <v>16</v>
      </c>
      <c r="C675" s="41">
        <v>12.0</v>
      </c>
      <c r="D675" s="33">
        <v>5.410228258698E12</v>
      </c>
      <c r="E675" s="42">
        <v>0.7375</v>
      </c>
      <c r="F675" s="35">
        <v>8.85</v>
      </c>
      <c r="G675" s="36">
        <v>1.0</v>
      </c>
      <c r="H675" s="43">
        <f t="shared" si="177"/>
        <v>0.8208333333</v>
      </c>
      <c r="I675" s="43">
        <f t="shared" si="178"/>
        <v>9.85</v>
      </c>
      <c r="J675" s="37"/>
      <c r="K675" s="45">
        <f t="shared" si="179"/>
        <v>0</v>
      </c>
    </row>
    <row r="676" ht="15.0" customHeight="1">
      <c r="A676" s="39" t="s">
        <v>860</v>
      </c>
      <c r="B676" s="40" t="s">
        <v>16</v>
      </c>
      <c r="C676" s="41">
        <v>12.0</v>
      </c>
      <c r="D676" s="33">
        <v>5.410228202608E12</v>
      </c>
      <c r="E676" s="42">
        <v>0.75</v>
      </c>
      <c r="F676" s="35">
        <v>8.95</v>
      </c>
      <c r="G676" s="36">
        <v>1.0</v>
      </c>
      <c r="H676" s="43">
        <f t="shared" si="177"/>
        <v>0.8291666667</v>
      </c>
      <c r="I676" s="43">
        <f t="shared" si="178"/>
        <v>9.95</v>
      </c>
      <c r="J676" s="37"/>
      <c r="K676" s="45">
        <f t="shared" si="179"/>
        <v>0</v>
      </c>
    </row>
    <row r="677" ht="15.0" customHeight="1">
      <c r="A677" s="23" t="s">
        <v>861</v>
      </c>
      <c r="B677" s="24"/>
      <c r="C677" s="23"/>
      <c r="D677" s="25"/>
      <c r="E677" s="26"/>
      <c r="F677" s="26"/>
      <c r="G677" s="132"/>
      <c r="H677" s="132"/>
      <c r="I677" s="132"/>
      <c r="J677" s="28"/>
      <c r="K677" s="132"/>
    </row>
    <row r="678" ht="15.0" customHeight="1">
      <c r="A678" s="30" t="s">
        <v>862</v>
      </c>
      <c r="B678" s="31"/>
      <c r="C678" s="32"/>
      <c r="D678" s="33"/>
      <c r="E678" s="34"/>
      <c r="F678" s="35"/>
      <c r="G678" s="36"/>
      <c r="H678" s="43"/>
      <c r="I678" s="43"/>
      <c r="J678" s="37"/>
      <c r="K678" s="45">
        <f t="shared" ref="K678:K703" si="180">I678*J678</f>
        <v>0</v>
      </c>
    </row>
    <row r="679" ht="15.0" customHeight="1">
      <c r="A679" s="39" t="s">
        <v>863</v>
      </c>
      <c r="B679" s="40" t="s">
        <v>760</v>
      </c>
      <c r="C679" s="41">
        <v>6.0</v>
      </c>
      <c r="D679" s="33">
        <v>3.175529632302E12</v>
      </c>
      <c r="E679" s="42">
        <v>1.85</v>
      </c>
      <c r="F679" s="35">
        <v>11.1</v>
      </c>
      <c r="G679" s="36">
        <v>1.0</v>
      </c>
      <c r="H679" s="43">
        <f t="shared" ref="H679:H703" si="181">I679/C679</f>
        <v>2.016666667</v>
      </c>
      <c r="I679" s="43">
        <f t="shared" ref="I679:I703" si="182">F679+G679</f>
        <v>12.1</v>
      </c>
      <c r="J679" s="37"/>
      <c r="K679" s="45">
        <f t="shared" si="180"/>
        <v>0</v>
      </c>
    </row>
    <row r="680" ht="15.0" customHeight="1">
      <c r="A680" s="39" t="s">
        <v>864</v>
      </c>
      <c r="B680" s="40" t="s">
        <v>760</v>
      </c>
      <c r="C680" s="41">
        <v>6.0</v>
      </c>
      <c r="D680" s="33">
        <v>3.21120343322E12</v>
      </c>
      <c r="E680" s="42">
        <v>3.59</v>
      </c>
      <c r="F680" s="35">
        <v>21.54</v>
      </c>
      <c r="G680" s="36">
        <v>1.0</v>
      </c>
      <c r="H680" s="43">
        <f t="shared" si="181"/>
        <v>3.756666667</v>
      </c>
      <c r="I680" s="43">
        <f t="shared" si="182"/>
        <v>22.54</v>
      </c>
      <c r="J680" s="37"/>
      <c r="K680" s="45">
        <f t="shared" si="180"/>
        <v>0</v>
      </c>
    </row>
    <row r="681" ht="15.0" customHeight="1">
      <c r="A681" s="39" t="s">
        <v>865</v>
      </c>
      <c r="B681" s="40" t="s">
        <v>760</v>
      </c>
      <c r="C681" s="41">
        <v>6.0</v>
      </c>
      <c r="D681" s="33">
        <v>3.262151637758E12</v>
      </c>
      <c r="E681" s="42">
        <v>7.5</v>
      </c>
      <c r="F681" s="35">
        <v>45.0</v>
      </c>
      <c r="G681" s="36">
        <v>3.0</v>
      </c>
      <c r="H681" s="43">
        <f t="shared" si="181"/>
        <v>8</v>
      </c>
      <c r="I681" s="43">
        <f t="shared" si="182"/>
        <v>48</v>
      </c>
      <c r="J681" s="37"/>
      <c r="K681" s="45">
        <f t="shared" si="180"/>
        <v>0</v>
      </c>
    </row>
    <row r="682" ht="15.0" customHeight="1">
      <c r="A682" s="39" t="s">
        <v>866</v>
      </c>
      <c r="B682" s="40" t="s">
        <v>760</v>
      </c>
      <c r="C682" s="41">
        <v>6.0</v>
      </c>
      <c r="D682" s="134">
        <v>3.70029012608E12</v>
      </c>
      <c r="E682" s="42">
        <v>4.95</v>
      </c>
      <c r="F682" s="35">
        <v>29.7</v>
      </c>
      <c r="G682" s="36">
        <v>3.0</v>
      </c>
      <c r="H682" s="43">
        <f t="shared" si="181"/>
        <v>5.45</v>
      </c>
      <c r="I682" s="43">
        <f t="shared" si="182"/>
        <v>32.7</v>
      </c>
      <c r="J682" s="37"/>
      <c r="K682" s="45">
        <f t="shared" si="180"/>
        <v>0</v>
      </c>
    </row>
    <row r="683" ht="15.0" customHeight="1">
      <c r="A683" s="39" t="s">
        <v>867</v>
      </c>
      <c r="B683" s="40" t="s">
        <v>760</v>
      </c>
      <c r="C683" s="135">
        <v>6.0</v>
      </c>
      <c r="D683" s="113" t="s">
        <v>868</v>
      </c>
      <c r="E683" s="136">
        <v>4.65</v>
      </c>
      <c r="F683" s="35">
        <v>27.9</v>
      </c>
      <c r="G683" s="36">
        <v>3.0</v>
      </c>
      <c r="H683" s="43">
        <f t="shared" si="181"/>
        <v>5.15</v>
      </c>
      <c r="I683" s="43">
        <f t="shared" si="182"/>
        <v>30.9</v>
      </c>
      <c r="J683" s="37"/>
      <c r="K683" s="45">
        <f t="shared" si="180"/>
        <v>0</v>
      </c>
    </row>
    <row r="684" ht="15.0" customHeight="1">
      <c r="A684" s="39" t="s">
        <v>869</v>
      </c>
      <c r="B684" s="40" t="s">
        <v>760</v>
      </c>
      <c r="C684" s="135">
        <v>6.0</v>
      </c>
      <c r="D684" s="113" t="s">
        <v>870</v>
      </c>
      <c r="E684" s="136">
        <v>5.25</v>
      </c>
      <c r="F684" s="35">
        <v>31.5</v>
      </c>
      <c r="G684" s="36">
        <v>3.0</v>
      </c>
      <c r="H684" s="43">
        <f t="shared" si="181"/>
        <v>5.75</v>
      </c>
      <c r="I684" s="43">
        <f t="shared" si="182"/>
        <v>34.5</v>
      </c>
      <c r="J684" s="37"/>
      <c r="K684" s="45">
        <f t="shared" si="180"/>
        <v>0</v>
      </c>
    </row>
    <row r="685" ht="15.0" customHeight="1">
      <c r="A685" s="39" t="s">
        <v>871</v>
      </c>
      <c r="B685" s="40" t="s">
        <v>760</v>
      </c>
      <c r="C685" s="41">
        <v>6.0</v>
      </c>
      <c r="D685" s="33">
        <v>3.700971904754E12</v>
      </c>
      <c r="E685" s="42">
        <v>7.75</v>
      </c>
      <c r="F685" s="35">
        <v>46.5</v>
      </c>
      <c r="G685" s="36">
        <v>3.0</v>
      </c>
      <c r="H685" s="43">
        <f t="shared" si="181"/>
        <v>8.25</v>
      </c>
      <c r="I685" s="43">
        <f t="shared" si="182"/>
        <v>49.5</v>
      </c>
      <c r="J685" s="37"/>
      <c r="K685" s="45">
        <f t="shared" si="180"/>
        <v>0</v>
      </c>
    </row>
    <row r="686" ht="15.0" customHeight="1">
      <c r="A686" s="39" t="s">
        <v>872</v>
      </c>
      <c r="B686" s="40" t="s">
        <v>760</v>
      </c>
      <c r="C686" s="41">
        <v>6.0</v>
      </c>
      <c r="D686" s="33">
        <v>3.760259350079E12</v>
      </c>
      <c r="E686" s="42">
        <v>8.75</v>
      </c>
      <c r="F686" s="35">
        <v>52.5</v>
      </c>
      <c r="G686" s="36">
        <v>3.0</v>
      </c>
      <c r="H686" s="43">
        <f t="shared" si="181"/>
        <v>9.25</v>
      </c>
      <c r="I686" s="43">
        <f t="shared" si="182"/>
        <v>55.5</v>
      </c>
      <c r="J686" s="37"/>
      <c r="K686" s="45">
        <f t="shared" si="180"/>
        <v>0</v>
      </c>
    </row>
    <row r="687" ht="15.0" customHeight="1">
      <c r="A687" s="39" t="s">
        <v>873</v>
      </c>
      <c r="B687" s="40" t="s">
        <v>760</v>
      </c>
      <c r="C687" s="41">
        <v>6.0</v>
      </c>
      <c r="D687" s="33">
        <v>3.272591540426E12</v>
      </c>
      <c r="E687" s="42">
        <v>5.25</v>
      </c>
      <c r="F687" s="35">
        <v>31.5</v>
      </c>
      <c r="G687" s="36">
        <v>3.0</v>
      </c>
      <c r="H687" s="43">
        <f t="shared" si="181"/>
        <v>5.75</v>
      </c>
      <c r="I687" s="43">
        <f t="shared" si="182"/>
        <v>34.5</v>
      </c>
      <c r="J687" s="37"/>
      <c r="K687" s="45">
        <f t="shared" si="180"/>
        <v>0</v>
      </c>
    </row>
    <row r="688" ht="15.0" customHeight="1">
      <c r="A688" s="39" t="s">
        <v>874</v>
      </c>
      <c r="B688" s="40" t="s">
        <v>760</v>
      </c>
      <c r="C688" s="41">
        <v>6.0</v>
      </c>
      <c r="D688" s="33">
        <v>3.242160101099E12</v>
      </c>
      <c r="E688" s="42">
        <v>4.55</v>
      </c>
      <c r="F688" s="35">
        <v>27.3</v>
      </c>
      <c r="G688" s="36">
        <v>3.0</v>
      </c>
      <c r="H688" s="43">
        <f t="shared" si="181"/>
        <v>5.05</v>
      </c>
      <c r="I688" s="43">
        <f t="shared" si="182"/>
        <v>30.3</v>
      </c>
      <c r="J688" s="37"/>
      <c r="K688" s="45">
        <f t="shared" si="180"/>
        <v>0</v>
      </c>
    </row>
    <row r="689" ht="15.0" customHeight="1">
      <c r="A689" s="39" t="s">
        <v>875</v>
      </c>
      <c r="B689" s="40" t="s">
        <v>760</v>
      </c>
      <c r="C689" s="41">
        <v>6.0</v>
      </c>
      <c r="D689" s="33">
        <v>3.249381041715E12</v>
      </c>
      <c r="E689" s="42">
        <v>2.19</v>
      </c>
      <c r="F689" s="35">
        <v>13.14</v>
      </c>
      <c r="G689" s="36">
        <v>1.0</v>
      </c>
      <c r="H689" s="43">
        <f t="shared" si="181"/>
        <v>2.356666667</v>
      </c>
      <c r="I689" s="43">
        <f t="shared" si="182"/>
        <v>14.14</v>
      </c>
      <c r="J689" s="37"/>
      <c r="K689" s="45">
        <f t="shared" si="180"/>
        <v>0</v>
      </c>
    </row>
    <row r="690" ht="15.0" customHeight="1">
      <c r="A690" s="39" t="s">
        <v>876</v>
      </c>
      <c r="B690" s="40" t="s">
        <v>760</v>
      </c>
      <c r="C690" s="41">
        <v>6.0</v>
      </c>
      <c r="D690" s="33">
        <v>3.760167391751E12</v>
      </c>
      <c r="E690" s="42">
        <v>4.65</v>
      </c>
      <c r="F690" s="35">
        <v>27.9</v>
      </c>
      <c r="G690" s="36">
        <v>3.0</v>
      </c>
      <c r="H690" s="43">
        <f t="shared" si="181"/>
        <v>5.15</v>
      </c>
      <c r="I690" s="43">
        <f t="shared" si="182"/>
        <v>30.9</v>
      </c>
      <c r="J690" s="37"/>
      <c r="K690" s="45">
        <f t="shared" si="180"/>
        <v>0</v>
      </c>
    </row>
    <row r="691" ht="15.0" customHeight="1">
      <c r="A691" s="39" t="s">
        <v>877</v>
      </c>
      <c r="B691" s="40" t="s">
        <v>760</v>
      </c>
      <c r="C691" s="41">
        <v>6.0</v>
      </c>
      <c r="D691" s="33">
        <v>3.700290122532E12</v>
      </c>
      <c r="E691" s="42">
        <v>6.0</v>
      </c>
      <c r="F691" s="35">
        <v>36.0</v>
      </c>
      <c r="G691" s="36">
        <v>3.0</v>
      </c>
      <c r="H691" s="43">
        <f t="shared" si="181"/>
        <v>6.5</v>
      </c>
      <c r="I691" s="43">
        <f t="shared" si="182"/>
        <v>39</v>
      </c>
      <c r="J691" s="37"/>
      <c r="K691" s="45">
        <f t="shared" si="180"/>
        <v>0</v>
      </c>
    </row>
    <row r="692" ht="15.0" customHeight="1">
      <c r="A692" s="39" t="s">
        <v>878</v>
      </c>
      <c r="B692" s="40" t="s">
        <v>760</v>
      </c>
      <c r="C692" s="41">
        <v>6.0</v>
      </c>
      <c r="D692" s="33" t="s">
        <v>879</v>
      </c>
      <c r="E692" s="42">
        <v>5.75</v>
      </c>
      <c r="F692" s="35">
        <v>34.5</v>
      </c>
      <c r="G692" s="36">
        <v>3.0</v>
      </c>
      <c r="H692" s="43">
        <f t="shared" si="181"/>
        <v>6.25</v>
      </c>
      <c r="I692" s="43">
        <f t="shared" si="182"/>
        <v>37.5</v>
      </c>
      <c r="J692" s="37"/>
      <c r="K692" s="45">
        <f t="shared" si="180"/>
        <v>0</v>
      </c>
    </row>
    <row r="693" ht="15.0" customHeight="1">
      <c r="A693" s="39" t="s">
        <v>880</v>
      </c>
      <c r="B693" s="40" t="s">
        <v>760</v>
      </c>
      <c r="C693" s="41">
        <v>6.0</v>
      </c>
      <c r="D693" s="33" t="s">
        <v>881</v>
      </c>
      <c r="E693" s="42">
        <v>6.15</v>
      </c>
      <c r="F693" s="35">
        <v>36.9</v>
      </c>
      <c r="G693" s="36">
        <v>3.0</v>
      </c>
      <c r="H693" s="43">
        <f t="shared" si="181"/>
        <v>6.65</v>
      </c>
      <c r="I693" s="43">
        <f t="shared" si="182"/>
        <v>39.9</v>
      </c>
      <c r="J693" s="37"/>
      <c r="K693" s="45">
        <f t="shared" si="180"/>
        <v>0</v>
      </c>
    </row>
    <row r="694" ht="15.0" customHeight="1">
      <c r="A694" s="39" t="s">
        <v>882</v>
      </c>
      <c r="B694" s="40" t="s">
        <v>760</v>
      </c>
      <c r="C694" s="41">
        <v>6.0</v>
      </c>
      <c r="D694" s="33">
        <v>3.700290120125E12</v>
      </c>
      <c r="E694" s="42">
        <v>5.25</v>
      </c>
      <c r="F694" s="35">
        <v>31.5</v>
      </c>
      <c r="G694" s="36">
        <v>3.0</v>
      </c>
      <c r="H694" s="43">
        <f t="shared" si="181"/>
        <v>5.75</v>
      </c>
      <c r="I694" s="43">
        <f t="shared" si="182"/>
        <v>34.5</v>
      </c>
      <c r="J694" s="37"/>
      <c r="K694" s="45">
        <f t="shared" si="180"/>
        <v>0</v>
      </c>
    </row>
    <row r="695" ht="15.0" customHeight="1">
      <c r="A695" s="39" t="s">
        <v>883</v>
      </c>
      <c r="B695" s="40" t="s">
        <v>760</v>
      </c>
      <c r="C695" s="41">
        <v>6.0</v>
      </c>
      <c r="D695" s="33">
        <v>3.263280120111E12</v>
      </c>
      <c r="E695" s="42">
        <v>5.65</v>
      </c>
      <c r="F695" s="35">
        <v>33.9</v>
      </c>
      <c r="G695" s="36">
        <v>3.0</v>
      </c>
      <c r="H695" s="43">
        <f t="shared" si="181"/>
        <v>6.15</v>
      </c>
      <c r="I695" s="43">
        <f t="shared" si="182"/>
        <v>36.9</v>
      </c>
      <c r="J695" s="37"/>
      <c r="K695" s="45">
        <f t="shared" si="180"/>
        <v>0</v>
      </c>
    </row>
    <row r="696" ht="15.0" customHeight="1">
      <c r="A696" s="39" t="s">
        <v>884</v>
      </c>
      <c r="B696" s="40" t="s">
        <v>760</v>
      </c>
      <c r="C696" s="41">
        <v>6.0</v>
      </c>
      <c r="D696" s="33">
        <v>3.359950359858E12</v>
      </c>
      <c r="E696" s="42">
        <v>12.5</v>
      </c>
      <c r="F696" s="35">
        <v>75.0</v>
      </c>
      <c r="G696" s="36">
        <v>3.0</v>
      </c>
      <c r="H696" s="43">
        <f t="shared" si="181"/>
        <v>13</v>
      </c>
      <c r="I696" s="43">
        <f t="shared" si="182"/>
        <v>78</v>
      </c>
      <c r="J696" s="37"/>
      <c r="K696" s="45">
        <f t="shared" si="180"/>
        <v>0</v>
      </c>
    </row>
    <row r="697" ht="15.0" customHeight="1">
      <c r="A697" s="39" t="s">
        <v>885</v>
      </c>
      <c r="B697" s="40" t="s">
        <v>760</v>
      </c>
      <c r="C697" s="41">
        <v>6.0</v>
      </c>
      <c r="D697" s="113" t="s">
        <v>886</v>
      </c>
      <c r="E697" s="42">
        <v>16.95</v>
      </c>
      <c r="F697" s="35">
        <v>101.7</v>
      </c>
      <c r="G697" s="36">
        <v>3.0</v>
      </c>
      <c r="H697" s="43">
        <f t="shared" si="181"/>
        <v>17.45</v>
      </c>
      <c r="I697" s="43">
        <f t="shared" si="182"/>
        <v>104.7</v>
      </c>
      <c r="J697" s="37"/>
      <c r="K697" s="45">
        <f t="shared" si="180"/>
        <v>0</v>
      </c>
    </row>
    <row r="698" ht="15.0" customHeight="1">
      <c r="A698" s="39" t="s">
        <v>887</v>
      </c>
      <c r="B698" s="40" t="s">
        <v>760</v>
      </c>
      <c r="C698" s="41">
        <v>6.0</v>
      </c>
      <c r="D698" s="33">
        <v>3.770000114126E12</v>
      </c>
      <c r="E698" s="42">
        <v>5.0</v>
      </c>
      <c r="F698" s="35">
        <v>30.0</v>
      </c>
      <c r="G698" s="36">
        <v>3.0</v>
      </c>
      <c r="H698" s="43">
        <f t="shared" si="181"/>
        <v>5.5</v>
      </c>
      <c r="I698" s="43">
        <f t="shared" si="182"/>
        <v>33</v>
      </c>
      <c r="J698" s="37"/>
      <c r="K698" s="45">
        <f t="shared" si="180"/>
        <v>0</v>
      </c>
    </row>
    <row r="699" ht="15.0" customHeight="1">
      <c r="A699" s="39" t="s">
        <v>888</v>
      </c>
      <c r="B699" s="40" t="s">
        <v>760</v>
      </c>
      <c r="C699" s="41">
        <v>6.0</v>
      </c>
      <c r="D699" s="33">
        <v>3.760138351647E12</v>
      </c>
      <c r="E699" s="42">
        <v>4.75</v>
      </c>
      <c r="F699" s="35">
        <v>28.5</v>
      </c>
      <c r="G699" s="36">
        <v>3.0</v>
      </c>
      <c r="H699" s="43">
        <f t="shared" si="181"/>
        <v>5.25</v>
      </c>
      <c r="I699" s="43">
        <f t="shared" si="182"/>
        <v>31.5</v>
      </c>
      <c r="J699" s="37"/>
      <c r="K699" s="45">
        <f t="shared" si="180"/>
        <v>0</v>
      </c>
    </row>
    <row r="700" ht="15.0" customHeight="1">
      <c r="A700" s="39" t="s">
        <v>889</v>
      </c>
      <c r="B700" s="40" t="s">
        <v>760</v>
      </c>
      <c r="C700" s="41">
        <v>6.0</v>
      </c>
      <c r="D700" s="33">
        <v>3.700971900879E12</v>
      </c>
      <c r="E700" s="42">
        <v>6.0</v>
      </c>
      <c r="F700" s="35">
        <v>36.0</v>
      </c>
      <c r="G700" s="36">
        <v>3.0</v>
      </c>
      <c r="H700" s="43">
        <f t="shared" si="181"/>
        <v>6.5</v>
      </c>
      <c r="I700" s="43">
        <f t="shared" si="182"/>
        <v>39</v>
      </c>
      <c r="J700" s="37"/>
      <c r="K700" s="45">
        <f t="shared" si="180"/>
        <v>0</v>
      </c>
    </row>
    <row r="701" ht="15.0" customHeight="1">
      <c r="A701" s="39" t="s">
        <v>890</v>
      </c>
      <c r="B701" s="40" t="s">
        <v>760</v>
      </c>
      <c r="C701" s="41">
        <v>6.0</v>
      </c>
      <c r="D701" s="33">
        <v>3.701086300189E12</v>
      </c>
      <c r="E701" s="42">
        <v>6.75</v>
      </c>
      <c r="F701" s="35">
        <v>40.5</v>
      </c>
      <c r="G701" s="36">
        <v>3.0</v>
      </c>
      <c r="H701" s="43">
        <f t="shared" si="181"/>
        <v>7.25</v>
      </c>
      <c r="I701" s="43">
        <f t="shared" si="182"/>
        <v>43.5</v>
      </c>
      <c r="J701" s="37"/>
      <c r="K701" s="45">
        <f t="shared" si="180"/>
        <v>0</v>
      </c>
    </row>
    <row r="702" ht="15.0" customHeight="1">
      <c r="A702" s="39" t="s">
        <v>891</v>
      </c>
      <c r="B702" s="40" t="s">
        <v>760</v>
      </c>
      <c r="C702" s="41">
        <v>6.0</v>
      </c>
      <c r="D702" s="33">
        <v>3.701086302565E12</v>
      </c>
      <c r="E702" s="42">
        <v>6.95</v>
      </c>
      <c r="F702" s="35">
        <v>41.7</v>
      </c>
      <c r="G702" s="36">
        <v>3.0</v>
      </c>
      <c r="H702" s="43">
        <f t="shared" si="181"/>
        <v>7.45</v>
      </c>
      <c r="I702" s="43">
        <f t="shared" si="182"/>
        <v>44.7</v>
      </c>
      <c r="J702" s="37"/>
      <c r="K702" s="45">
        <f t="shared" si="180"/>
        <v>0</v>
      </c>
    </row>
    <row r="703" ht="15.0" customHeight="1">
      <c r="A703" s="39" t="s">
        <v>892</v>
      </c>
      <c r="B703" s="40" t="s">
        <v>760</v>
      </c>
      <c r="C703" s="41">
        <v>6.0</v>
      </c>
      <c r="D703" s="33">
        <v>3.701086301124E12</v>
      </c>
      <c r="E703" s="42">
        <v>5.85</v>
      </c>
      <c r="F703" s="35">
        <v>35.1</v>
      </c>
      <c r="G703" s="36">
        <v>3.0</v>
      </c>
      <c r="H703" s="43">
        <f t="shared" si="181"/>
        <v>6.35</v>
      </c>
      <c r="I703" s="43">
        <f t="shared" si="182"/>
        <v>38.1</v>
      </c>
      <c r="J703" s="37"/>
      <c r="K703" s="45">
        <f t="shared" si="180"/>
        <v>0</v>
      </c>
    </row>
    <row r="704" ht="15.0" customHeight="1">
      <c r="A704" s="30" t="s">
        <v>893</v>
      </c>
      <c r="B704" s="31"/>
      <c r="C704" s="32"/>
      <c r="D704" s="33"/>
      <c r="E704" s="34"/>
      <c r="F704" s="35"/>
      <c r="G704" s="36"/>
      <c r="H704" s="43"/>
      <c r="I704" s="43"/>
      <c r="J704" s="37"/>
      <c r="K704" s="45"/>
    </row>
    <row r="705" ht="15.0" customHeight="1">
      <c r="A705" s="39" t="s">
        <v>894</v>
      </c>
      <c r="B705" s="40" t="s">
        <v>760</v>
      </c>
      <c r="C705" s="41">
        <v>6.0</v>
      </c>
      <c r="D705" s="33">
        <v>3.296184018697E12</v>
      </c>
      <c r="E705" s="42">
        <v>10.0</v>
      </c>
      <c r="F705" s="35">
        <v>60.0</v>
      </c>
      <c r="G705" s="36">
        <v>3.0</v>
      </c>
      <c r="H705" s="43">
        <f t="shared" ref="H705:H718" si="183">I705/C705</f>
        <v>10.5</v>
      </c>
      <c r="I705" s="43">
        <f t="shared" ref="I705:I718" si="184">F705+G705</f>
        <v>63</v>
      </c>
      <c r="J705" s="37"/>
      <c r="K705" s="45">
        <f t="shared" ref="K705:K718" si="185">I705*J705</f>
        <v>0</v>
      </c>
    </row>
    <row r="706" ht="15.0" customHeight="1">
      <c r="A706" s="39" t="s">
        <v>895</v>
      </c>
      <c r="B706" s="40" t="s">
        <v>760</v>
      </c>
      <c r="C706" s="41">
        <v>6.0</v>
      </c>
      <c r="D706" s="33">
        <v>3.521211840201E12</v>
      </c>
      <c r="E706" s="42">
        <v>8.2</v>
      </c>
      <c r="F706" s="35">
        <v>49.2</v>
      </c>
      <c r="G706" s="36">
        <v>1.0</v>
      </c>
      <c r="H706" s="43">
        <f t="shared" si="183"/>
        <v>8.366666667</v>
      </c>
      <c r="I706" s="43">
        <f t="shared" si="184"/>
        <v>50.2</v>
      </c>
      <c r="J706" s="37"/>
      <c r="K706" s="45">
        <f t="shared" si="185"/>
        <v>0</v>
      </c>
    </row>
    <row r="707" ht="15.0" customHeight="1">
      <c r="A707" s="39" t="s">
        <v>896</v>
      </c>
      <c r="B707" s="40" t="s">
        <v>760</v>
      </c>
      <c r="C707" s="41">
        <v>6.0</v>
      </c>
      <c r="D707" s="33">
        <v>3.521211842205E12</v>
      </c>
      <c r="E707" s="42">
        <v>8.95</v>
      </c>
      <c r="F707" s="35">
        <v>53.7</v>
      </c>
      <c r="G707" s="36">
        <v>3.0</v>
      </c>
      <c r="H707" s="43">
        <f t="shared" si="183"/>
        <v>9.45</v>
      </c>
      <c r="I707" s="43">
        <f t="shared" si="184"/>
        <v>56.7</v>
      </c>
      <c r="J707" s="37"/>
      <c r="K707" s="45">
        <f t="shared" si="185"/>
        <v>0</v>
      </c>
    </row>
    <row r="708" ht="15.0" customHeight="1">
      <c r="A708" s="39" t="s">
        <v>897</v>
      </c>
      <c r="B708" s="40" t="s">
        <v>760</v>
      </c>
      <c r="C708" s="41">
        <v>6.0</v>
      </c>
      <c r="D708" s="33">
        <v>3.701086301094E12</v>
      </c>
      <c r="E708" s="42">
        <v>5.65</v>
      </c>
      <c r="F708" s="35">
        <v>33.9</v>
      </c>
      <c r="G708" s="36">
        <v>3.0</v>
      </c>
      <c r="H708" s="43">
        <f t="shared" si="183"/>
        <v>6.15</v>
      </c>
      <c r="I708" s="43">
        <f t="shared" si="184"/>
        <v>36.9</v>
      </c>
      <c r="J708" s="37"/>
      <c r="K708" s="45">
        <f t="shared" si="185"/>
        <v>0</v>
      </c>
    </row>
    <row r="709" ht="15.0" customHeight="1">
      <c r="A709" s="39" t="s">
        <v>898</v>
      </c>
      <c r="B709" s="40" t="s">
        <v>760</v>
      </c>
      <c r="C709" s="41">
        <v>6.0</v>
      </c>
      <c r="D709" s="33">
        <v>3.211200218943E12</v>
      </c>
      <c r="E709" s="42">
        <v>4.15</v>
      </c>
      <c r="F709" s="35">
        <v>24.9</v>
      </c>
      <c r="G709" s="36">
        <v>3.0</v>
      </c>
      <c r="H709" s="43">
        <f t="shared" si="183"/>
        <v>4.65</v>
      </c>
      <c r="I709" s="43">
        <f t="shared" si="184"/>
        <v>27.9</v>
      </c>
      <c r="J709" s="37"/>
      <c r="K709" s="45">
        <f t="shared" si="185"/>
        <v>0</v>
      </c>
    </row>
    <row r="710" ht="15.0" customHeight="1">
      <c r="A710" s="39" t="s">
        <v>899</v>
      </c>
      <c r="B710" s="40" t="s">
        <v>760</v>
      </c>
      <c r="C710" s="41">
        <v>6.0</v>
      </c>
      <c r="D710" s="33">
        <v>3.211200218844E12</v>
      </c>
      <c r="E710" s="42">
        <v>5.35</v>
      </c>
      <c r="F710" s="35">
        <v>32.1</v>
      </c>
      <c r="G710" s="36">
        <v>3.0</v>
      </c>
      <c r="H710" s="43">
        <f t="shared" si="183"/>
        <v>5.85</v>
      </c>
      <c r="I710" s="43">
        <f t="shared" si="184"/>
        <v>35.1</v>
      </c>
      <c r="J710" s="37"/>
      <c r="K710" s="45">
        <f t="shared" si="185"/>
        <v>0</v>
      </c>
    </row>
    <row r="711" ht="15.0" customHeight="1">
      <c r="A711" s="39" t="s">
        <v>900</v>
      </c>
      <c r="B711" s="40" t="s">
        <v>760</v>
      </c>
      <c r="C711" s="41">
        <v>6.0</v>
      </c>
      <c r="D711" s="33">
        <v>4.333465994543E12</v>
      </c>
      <c r="E711" s="42">
        <v>2.39</v>
      </c>
      <c r="F711" s="35">
        <v>14.34</v>
      </c>
      <c r="G711" s="36">
        <v>1.0</v>
      </c>
      <c r="H711" s="43">
        <f t="shared" si="183"/>
        <v>2.556666667</v>
      </c>
      <c r="I711" s="43">
        <f t="shared" si="184"/>
        <v>15.34</v>
      </c>
      <c r="J711" s="37"/>
      <c r="K711" s="45">
        <f t="shared" si="185"/>
        <v>0</v>
      </c>
    </row>
    <row r="712" ht="15.0" customHeight="1">
      <c r="A712" s="39" t="s">
        <v>901</v>
      </c>
      <c r="B712" s="40" t="s">
        <v>760</v>
      </c>
      <c r="C712" s="41">
        <v>6.0</v>
      </c>
      <c r="D712" s="33">
        <v>3.244081500005E12</v>
      </c>
      <c r="E712" s="42">
        <v>3.45</v>
      </c>
      <c r="F712" s="35">
        <v>20.7</v>
      </c>
      <c r="G712" s="36">
        <v>3.0</v>
      </c>
      <c r="H712" s="43">
        <f t="shared" si="183"/>
        <v>3.95</v>
      </c>
      <c r="I712" s="43">
        <f t="shared" si="184"/>
        <v>23.7</v>
      </c>
      <c r="J712" s="37"/>
      <c r="K712" s="45">
        <f t="shared" si="185"/>
        <v>0</v>
      </c>
    </row>
    <row r="713" ht="15.0" customHeight="1">
      <c r="A713" s="39" t="s">
        <v>902</v>
      </c>
      <c r="B713" s="40" t="s">
        <v>760</v>
      </c>
      <c r="C713" s="41">
        <v>6.0</v>
      </c>
      <c r="D713" s="33">
        <v>3.760153841994E12</v>
      </c>
      <c r="E713" s="42">
        <v>5.9</v>
      </c>
      <c r="F713" s="35">
        <v>35.4</v>
      </c>
      <c r="G713" s="36">
        <v>3.0</v>
      </c>
      <c r="H713" s="43">
        <f t="shared" si="183"/>
        <v>6.4</v>
      </c>
      <c r="I713" s="43">
        <f t="shared" si="184"/>
        <v>38.4</v>
      </c>
      <c r="J713" s="37"/>
      <c r="K713" s="45">
        <f t="shared" si="185"/>
        <v>0</v>
      </c>
    </row>
    <row r="714" ht="15.0" customHeight="1">
      <c r="A714" s="39" t="s">
        <v>903</v>
      </c>
      <c r="B714" s="40" t="s">
        <v>760</v>
      </c>
      <c r="C714" s="41">
        <v>6.0</v>
      </c>
      <c r="D714" s="33">
        <v>3.280111580005E12</v>
      </c>
      <c r="E714" s="42">
        <v>3.95</v>
      </c>
      <c r="F714" s="35">
        <v>23.7</v>
      </c>
      <c r="G714" s="36">
        <v>3.0</v>
      </c>
      <c r="H714" s="43">
        <f t="shared" si="183"/>
        <v>4.45</v>
      </c>
      <c r="I714" s="43">
        <f t="shared" si="184"/>
        <v>26.7</v>
      </c>
      <c r="J714" s="37"/>
      <c r="K714" s="45">
        <f t="shared" si="185"/>
        <v>0</v>
      </c>
    </row>
    <row r="715" ht="15.0" customHeight="1">
      <c r="A715" s="39" t="s">
        <v>904</v>
      </c>
      <c r="B715" s="40" t="s">
        <v>760</v>
      </c>
      <c r="C715" s="41">
        <v>6.0</v>
      </c>
      <c r="D715" s="33">
        <v>3.438910880639E12</v>
      </c>
      <c r="E715" s="42">
        <v>4.25</v>
      </c>
      <c r="F715" s="35">
        <v>25.5</v>
      </c>
      <c r="G715" s="36">
        <v>3.0</v>
      </c>
      <c r="H715" s="43">
        <f t="shared" si="183"/>
        <v>4.75</v>
      </c>
      <c r="I715" s="43">
        <f t="shared" si="184"/>
        <v>28.5</v>
      </c>
      <c r="J715" s="37"/>
      <c r="K715" s="45">
        <f t="shared" si="185"/>
        <v>0</v>
      </c>
    </row>
    <row r="716" ht="15.0" customHeight="1">
      <c r="A716" s="39" t="s">
        <v>905</v>
      </c>
      <c r="B716" s="40" t="s">
        <v>760</v>
      </c>
      <c r="C716" s="41">
        <v>6.0</v>
      </c>
      <c r="D716" s="33">
        <v>3.439495508E12</v>
      </c>
      <c r="E716" s="42">
        <v>2.9</v>
      </c>
      <c r="F716" s="35">
        <v>17.4</v>
      </c>
      <c r="G716" s="36">
        <v>3.0</v>
      </c>
      <c r="H716" s="43">
        <f t="shared" si="183"/>
        <v>3.4</v>
      </c>
      <c r="I716" s="43">
        <f t="shared" si="184"/>
        <v>20.4</v>
      </c>
      <c r="J716" s="37"/>
      <c r="K716" s="45">
        <f t="shared" si="185"/>
        <v>0</v>
      </c>
    </row>
    <row r="717" ht="15.0" customHeight="1">
      <c r="A717" s="39" t="s">
        <v>906</v>
      </c>
      <c r="B717" s="40" t="s">
        <v>760</v>
      </c>
      <c r="C717" s="41">
        <v>6.0</v>
      </c>
      <c r="D717" s="33">
        <v>3.211209272243E12</v>
      </c>
      <c r="E717" s="42">
        <v>2.65</v>
      </c>
      <c r="F717" s="35">
        <v>15.9</v>
      </c>
      <c r="G717" s="36">
        <v>1.0</v>
      </c>
      <c r="H717" s="43">
        <f t="shared" si="183"/>
        <v>2.816666667</v>
      </c>
      <c r="I717" s="43">
        <f t="shared" si="184"/>
        <v>16.9</v>
      </c>
      <c r="J717" s="37"/>
      <c r="K717" s="45">
        <f t="shared" si="185"/>
        <v>0</v>
      </c>
    </row>
    <row r="718" ht="15.0" customHeight="1">
      <c r="A718" s="39" t="s">
        <v>907</v>
      </c>
      <c r="B718" s="40" t="s">
        <v>760</v>
      </c>
      <c r="C718" s="41">
        <v>6.0</v>
      </c>
      <c r="D718" s="33">
        <v>3.249381041722E12</v>
      </c>
      <c r="E718" s="42">
        <v>2.19</v>
      </c>
      <c r="F718" s="35">
        <v>13.14</v>
      </c>
      <c r="G718" s="36">
        <v>1.0</v>
      </c>
      <c r="H718" s="43">
        <f t="shared" si="183"/>
        <v>2.356666667</v>
      </c>
      <c r="I718" s="43">
        <f t="shared" si="184"/>
        <v>14.14</v>
      </c>
      <c r="J718" s="37"/>
      <c r="K718" s="45">
        <f t="shared" si="185"/>
        <v>0</v>
      </c>
    </row>
    <row r="719" ht="15.0" customHeight="1">
      <c r="A719" s="30" t="s">
        <v>908</v>
      </c>
      <c r="B719" s="31"/>
      <c r="C719" s="32"/>
      <c r="D719" s="33"/>
      <c r="E719" s="34"/>
      <c r="F719" s="35"/>
      <c r="G719" s="36"/>
      <c r="H719" s="43"/>
      <c r="I719" s="43"/>
      <c r="J719" s="37"/>
      <c r="K719" s="45"/>
    </row>
    <row r="720" ht="15.0" customHeight="1">
      <c r="A720" s="39" t="s">
        <v>909</v>
      </c>
      <c r="B720" s="40" t="s">
        <v>760</v>
      </c>
      <c r="C720" s="41">
        <v>6.0</v>
      </c>
      <c r="D720" s="33">
        <v>3.211200218691E12</v>
      </c>
      <c r="E720" s="42">
        <v>5.5</v>
      </c>
      <c r="F720" s="35">
        <v>33.0</v>
      </c>
      <c r="G720" s="36">
        <v>3.0</v>
      </c>
      <c r="H720" s="43">
        <f t="shared" ref="H720:H726" si="186">I720/C720</f>
        <v>6</v>
      </c>
      <c r="I720" s="43">
        <f t="shared" ref="I720:I726" si="187">F720+G720</f>
        <v>36</v>
      </c>
      <c r="J720" s="37"/>
      <c r="K720" s="45">
        <f t="shared" ref="K720:K726" si="188">I720*J720</f>
        <v>0</v>
      </c>
    </row>
    <row r="721" ht="15.0" customHeight="1">
      <c r="A721" s="39" t="s">
        <v>910</v>
      </c>
      <c r="B721" s="40" t="s">
        <v>760</v>
      </c>
      <c r="C721" s="41">
        <v>6.0</v>
      </c>
      <c r="D721" s="33">
        <v>3.760004440024E12</v>
      </c>
      <c r="E721" s="42">
        <v>3.9</v>
      </c>
      <c r="F721" s="35">
        <v>23.4</v>
      </c>
      <c r="G721" s="36">
        <v>3.0</v>
      </c>
      <c r="H721" s="43">
        <f t="shared" si="186"/>
        <v>4.4</v>
      </c>
      <c r="I721" s="43">
        <f t="shared" si="187"/>
        <v>26.4</v>
      </c>
      <c r="J721" s="37"/>
      <c r="K721" s="45">
        <f t="shared" si="188"/>
        <v>0</v>
      </c>
    </row>
    <row r="722" ht="15.0" customHeight="1">
      <c r="A722" s="39" t="s">
        <v>911</v>
      </c>
      <c r="B722" s="40" t="s">
        <v>760</v>
      </c>
      <c r="C722" s="41">
        <v>6.0</v>
      </c>
      <c r="D722" s="33">
        <v>3.760004440178E12</v>
      </c>
      <c r="E722" s="42">
        <v>5.5</v>
      </c>
      <c r="F722" s="35">
        <f>E722*C722</f>
        <v>33</v>
      </c>
      <c r="G722" s="36">
        <v>3.0</v>
      </c>
      <c r="H722" s="43">
        <f t="shared" si="186"/>
        <v>6</v>
      </c>
      <c r="I722" s="43">
        <f t="shared" si="187"/>
        <v>36</v>
      </c>
      <c r="J722" s="37"/>
      <c r="K722" s="45">
        <f t="shared" si="188"/>
        <v>0</v>
      </c>
    </row>
    <row r="723" ht="15.0" customHeight="1">
      <c r="A723" s="39" t="s">
        <v>912</v>
      </c>
      <c r="B723" s="40" t="s">
        <v>760</v>
      </c>
      <c r="C723" s="41">
        <v>6.0</v>
      </c>
      <c r="D723" s="33">
        <v>3.547102222E12</v>
      </c>
      <c r="E723" s="42">
        <v>9.75</v>
      </c>
      <c r="F723" s="35">
        <v>58.5</v>
      </c>
      <c r="G723" s="36">
        <v>3.0</v>
      </c>
      <c r="H723" s="43">
        <f t="shared" si="186"/>
        <v>10.25</v>
      </c>
      <c r="I723" s="43">
        <f t="shared" si="187"/>
        <v>61.5</v>
      </c>
      <c r="J723" s="37"/>
      <c r="K723" s="45">
        <f t="shared" si="188"/>
        <v>0</v>
      </c>
    </row>
    <row r="724" ht="15.0" customHeight="1">
      <c r="A724" s="39" t="s">
        <v>913</v>
      </c>
      <c r="B724" s="40" t="s">
        <v>760</v>
      </c>
      <c r="C724" s="41">
        <v>6.0</v>
      </c>
      <c r="D724" s="33">
        <v>3.296184016242E12</v>
      </c>
      <c r="E724" s="42">
        <v>12.9</v>
      </c>
      <c r="F724" s="35">
        <v>77.4</v>
      </c>
      <c r="G724" s="36">
        <v>3.0</v>
      </c>
      <c r="H724" s="43">
        <f t="shared" si="186"/>
        <v>13.4</v>
      </c>
      <c r="I724" s="43">
        <f t="shared" si="187"/>
        <v>80.4</v>
      </c>
      <c r="J724" s="37"/>
      <c r="K724" s="45">
        <f t="shared" si="188"/>
        <v>0</v>
      </c>
    </row>
    <row r="725" ht="15.0" customHeight="1">
      <c r="A725" s="39" t="s">
        <v>914</v>
      </c>
      <c r="B725" s="40" t="s">
        <v>760</v>
      </c>
      <c r="C725" s="41">
        <v>6.0</v>
      </c>
      <c r="D725" s="33">
        <v>3.296180007794E12</v>
      </c>
      <c r="E725" s="42">
        <v>7.5</v>
      </c>
      <c r="F725" s="35">
        <v>45.0</v>
      </c>
      <c r="G725" s="36">
        <v>3.0</v>
      </c>
      <c r="H725" s="43">
        <f t="shared" si="186"/>
        <v>8</v>
      </c>
      <c r="I725" s="43">
        <f t="shared" si="187"/>
        <v>48</v>
      </c>
      <c r="J725" s="37"/>
      <c r="K725" s="45">
        <f t="shared" si="188"/>
        <v>0</v>
      </c>
    </row>
    <row r="726" ht="15.0" customHeight="1">
      <c r="A726" s="39" t="s">
        <v>915</v>
      </c>
      <c r="B726" s="40" t="s">
        <v>760</v>
      </c>
      <c r="C726" s="41">
        <v>6.0</v>
      </c>
      <c r="D726" s="33">
        <v>3.244085100003E12</v>
      </c>
      <c r="E726" s="42">
        <v>4.75</v>
      </c>
      <c r="F726" s="35">
        <v>28.5</v>
      </c>
      <c r="G726" s="36">
        <v>3.0</v>
      </c>
      <c r="H726" s="43">
        <f t="shared" si="186"/>
        <v>5.25</v>
      </c>
      <c r="I726" s="43">
        <f t="shared" si="187"/>
        <v>31.5</v>
      </c>
      <c r="J726" s="37"/>
      <c r="K726" s="45">
        <f t="shared" si="188"/>
        <v>0</v>
      </c>
    </row>
    <row r="727" ht="15.0" customHeight="1">
      <c r="A727" s="30" t="s">
        <v>916</v>
      </c>
      <c r="B727" s="31"/>
      <c r="C727" s="32"/>
      <c r="D727" s="33"/>
      <c r="E727" s="34"/>
      <c r="F727" s="35"/>
      <c r="G727" s="36"/>
      <c r="H727" s="43"/>
      <c r="I727" s="43"/>
      <c r="J727" s="37"/>
      <c r="K727" s="45"/>
    </row>
    <row r="728" ht="15.0" customHeight="1">
      <c r="A728" s="39" t="s">
        <v>917</v>
      </c>
      <c r="B728" s="40" t="s">
        <v>760</v>
      </c>
      <c r="C728" s="41">
        <v>6.0</v>
      </c>
      <c r="D728" s="33">
        <v>8.026924054778E12</v>
      </c>
      <c r="E728" s="42">
        <v>2.89</v>
      </c>
      <c r="F728" s="35">
        <v>17.34</v>
      </c>
      <c r="G728" s="36">
        <v>1.0</v>
      </c>
      <c r="H728" s="43">
        <f t="shared" ref="H728:H732" si="189">I728/C728</f>
        <v>3.056666667</v>
      </c>
      <c r="I728" s="43">
        <f t="shared" ref="I728:I732" si="190">F728+G728</f>
        <v>18.34</v>
      </c>
      <c r="J728" s="37"/>
      <c r="K728" s="45">
        <f t="shared" ref="K728:K732" si="191">I728*J728</f>
        <v>0</v>
      </c>
    </row>
    <row r="729" ht="15.0" customHeight="1">
      <c r="A729" s="39" t="s">
        <v>918</v>
      </c>
      <c r="B729" s="40" t="s">
        <v>760</v>
      </c>
      <c r="C729" s="41">
        <v>6.0</v>
      </c>
      <c r="D729" s="33" t="s">
        <v>248</v>
      </c>
      <c r="E729" s="42">
        <v>8.99</v>
      </c>
      <c r="F729" s="35">
        <v>53.94</v>
      </c>
      <c r="G729" s="36">
        <v>1.0</v>
      </c>
      <c r="H729" s="43">
        <f t="shared" si="189"/>
        <v>9.156666667</v>
      </c>
      <c r="I729" s="43">
        <f t="shared" si="190"/>
        <v>54.94</v>
      </c>
      <c r="J729" s="37"/>
      <c r="K729" s="45">
        <f t="shared" si="191"/>
        <v>0</v>
      </c>
    </row>
    <row r="730" ht="15.0" customHeight="1">
      <c r="A730" s="39" t="s">
        <v>919</v>
      </c>
      <c r="B730" s="40" t="s">
        <v>760</v>
      </c>
      <c r="C730" s="41">
        <v>6.0</v>
      </c>
      <c r="D730" s="33">
        <v>3.211209272212E12</v>
      </c>
      <c r="E730" s="42">
        <v>2.49</v>
      </c>
      <c r="F730" s="35">
        <v>14.94</v>
      </c>
      <c r="G730" s="36">
        <v>1.0</v>
      </c>
      <c r="H730" s="43">
        <f t="shared" si="189"/>
        <v>2.656666667</v>
      </c>
      <c r="I730" s="43">
        <f t="shared" si="190"/>
        <v>15.94</v>
      </c>
      <c r="J730" s="37"/>
      <c r="K730" s="45">
        <f t="shared" si="191"/>
        <v>0</v>
      </c>
    </row>
    <row r="731" ht="15.0" customHeight="1">
      <c r="A731" s="39" t="s">
        <v>920</v>
      </c>
      <c r="B731" s="40" t="s">
        <v>760</v>
      </c>
      <c r="C731" s="41">
        <v>6.0</v>
      </c>
      <c r="D731" s="33">
        <v>3.249381041739E12</v>
      </c>
      <c r="E731" s="42">
        <v>2.29</v>
      </c>
      <c r="F731" s="35">
        <v>13.74</v>
      </c>
      <c r="G731" s="36">
        <v>1.0</v>
      </c>
      <c r="H731" s="43">
        <f t="shared" si="189"/>
        <v>2.456666667</v>
      </c>
      <c r="I731" s="43">
        <f t="shared" si="190"/>
        <v>14.74</v>
      </c>
      <c r="J731" s="37"/>
      <c r="K731" s="45">
        <f t="shared" si="191"/>
        <v>0</v>
      </c>
    </row>
    <row r="732" ht="15.0" customHeight="1">
      <c r="A732" s="39" t="s">
        <v>921</v>
      </c>
      <c r="B732" s="40" t="s">
        <v>760</v>
      </c>
      <c r="C732" s="41">
        <v>6.0</v>
      </c>
      <c r="D732" s="33">
        <v>3.296184016181E12</v>
      </c>
      <c r="E732" s="42">
        <v>7.5</v>
      </c>
      <c r="F732" s="35">
        <v>45.0</v>
      </c>
      <c r="G732" s="36">
        <v>3.0</v>
      </c>
      <c r="H732" s="43">
        <f t="shared" si="189"/>
        <v>8</v>
      </c>
      <c r="I732" s="43">
        <f t="shared" si="190"/>
        <v>48</v>
      </c>
      <c r="J732" s="37"/>
      <c r="K732" s="45">
        <f t="shared" si="191"/>
        <v>0</v>
      </c>
    </row>
    <row r="733" ht="15.0" customHeight="1">
      <c r="A733" s="30" t="s">
        <v>922</v>
      </c>
      <c r="B733" s="31"/>
      <c r="C733" s="32"/>
      <c r="D733" s="33"/>
      <c r="E733" s="34"/>
      <c r="F733" s="35"/>
      <c r="G733" s="36"/>
      <c r="H733" s="43"/>
      <c r="I733" s="43"/>
      <c r="J733" s="37"/>
      <c r="K733" s="45"/>
    </row>
    <row r="734" ht="15.0" customHeight="1">
      <c r="A734" s="39" t="s">
        <v>923</v>
      </c>
      <c r="B734" s="40" t="s">
        <v>760</v>
      </c>
      <c r="C734" s="41">
        <v>6.0</v>
      </c>
      <c r="D734" s="33">
        <v>3.211209188759E12</v>
      </c>
      <c r="E734" s="42">
        <v>3.95</v>
      </c>
      <c r="F734" s="35">
        <v>23.7</v>
      </c>
      <c r="G734" s="36">
        <v>3.0</v>
      </c>
      <c r="H734" s="43">
        <f t="shared" ref="H734:H737" si="192">I734/C734</f>
        <v>4.45</v>
      </c>
      <c r="I734" s="43">
        <f t="shared" ref="I734:I737" si="193">F734+G734</f>
        <v>26.7</v>
      </c>
      <c r="J734" s="37"/>
      <c r="K734" s="45">
        <f t="shared" ref="K734:K737" si="194">I734*J734</f>
        <v>0</v>
      </c>
    </row>
    <row r="735" ht="15.0" customHeight="1">
      <c r="A735" s="39" t="s">
        <v>924</v>
      </c>
      <c r="B735" s="40" t="s">
        <v>760</v>
      </c>
      <c r="C735" s="41">
        <v>6.0</v>
      </c>
      <c r="D735" s="33">
        <v>3.21120918894E12</v>
      </c>
      <c r="E735" s="42">
        <v>5.85</v>
      </c>
      <c r="F735" s="35">
        <v>35.1</v>
      </c>
      <c r="G735" s="36">
        <v>3.0</v>
      </c>
      <c r="H735" s="43">
        <f t="shared" si="192"/>
        <v>6.35</v>
      </c>
      <c r="I735" s="43">
        <f t="shared" si="193"/>
        <v>38.1</v>
      </c>
      <c r="J735" s="37"/>
      <c r="K735" s="45">
        <f t="shared" si="194"/>
        <v>0</v>
      </c>
    </row>
    <row r="736" ht="15.0" customHeight="1">
      <c r="A736" s="39" t="s">
        <v>925</v>
      </c>
      <c r="B736" s="40" t="s">
        <v>760</v>
      </c>
      <c r="C736" s="41">
        <v>6.0</v>
      </c>
      <c r="D736" s="33" t="s">
        <v>926</v>
      </c>
      <c r="E736" s="42">
        <v>5.95</v>
      </c>
      <c r="F736" s="35">
        <v>35.7</v>
      </c>
      <c r="G736" s="36">
        <v>3.0</v>
      </c>
      <c r="H736" s="43">
        <f t="shared" si="192"/>
        <v>6.45</v>
      </c>
      <c r="I736" s="43">
        <f t="shared" si="193"/>
        <v>38.7</v>
      </c>
      <c r="J736" s="37"/>
      <c r="K736" s="45">
        <f t="shared" si="194"/>
        <v>0</v>
      </c>
    </row>
    <row r="737" ht="15.0" customHeight="1">
      <c r="A737" s="39" t="s">
        <v>927</v>
      </c>
      <c r="B737" s="40" t="s">
        <v>760</v>
      </c>
      <c r="C737" s="41">
        <v>6.0</v>
      </c>
      <c r="D737" s="33" t="s">
        <v>928</v>
      </c>
      <c r="E737" s="42">
        <v>6.15</v>
      </c>
      <c r="F737" s="35">
        <v>36.9</v>
      </c>
      <c r="G737" s="36">
        <v>3.0</v>
      </c>
      <c r="H737" s="43">
        <f t="shared" si="192"/>
        <v>6.65</v>
      </c>
      <c r="I737" s="43">
        <f t="shared" si="193"/>
        <v>39.9</v>
      </c>
      <c r="J737" s="37"/>
      <c r="K737" s="45">
        <f t="shared" si="194"/>
        <v>0</v>
      </c>
    </row>
    <row r="738" ht="15.0" customHeight="1">
      <c r="A738" s="30" t="s">
        <v>929</v>
      </c>
      <c r="B738" s="31"/>
      <c r="C738" s="32"/>
      <c r="D738" s="33"/>
      <c r="E738" s="34"/>
      <c r="F738" s="35"/>
      <c r="G738" s="36"/>
      <c r="H738" s="43"/>
      <c r="I738" s="43"/>
      <c r="J738" s="37"/>
      <c r="K738" s="45"/>
    </row>
    <row r="739" ht="15.0" customHeight="1">
      <c r="A739" s="39" t="s">
        <v>930</v>
      </c>
      <c r="B739" s="40" t="s">
        <v>760</v>
      </c>
      <c r="C739" s="41">
        <v>6.0</v>
      </c>
      <c r="D739" s="33">
        <v>3.263280124898E12</v>
      </c>
      <c r="E739" s="42">
        <v>5.55</v>
      </c>
      <c r="F739" s="35">
        <v>33.3</v>
      </c>
      <c r="G739" s="36">
        <v>3.0</v>
      </c>
      <c r="H739" s="43">
        <f t="shared" ref="H739:H742" si="195">I739/C739</f>
        <v>6.05</v>
      </c>
      <c r="I739" s="43">
        <f t="shared" ref="I739:I742" si="196">F739+G739</f>
        <v>36.3</v>
      </c>
      <c r="J739" s="37"/>
      <c r="K739" s="45">
        <f t="shared" ref="K739:K742" si="197">I739*J739</f>
        <v>0</v>
      </c>
    </row>
    <row r="740" ht="15.0" customHeight="1">
      <c r="A740" s="39" t="s">
        <v>931</v>
      </c>
      <c r="B740" s="40" t="s">
        <v>760</v>
      </c>
      <c r="C740" s="41">
        <v>6.0</v>
      </c>
      <c r="D740" s="33">
        <v>3.50061011537E12</v>
      </c>
      <c r="E740" s="42">
        <v>5.35</v>
      </c>
      <c r="F740" s="35">
        <v>32.1</v>
      </c>
      <c r="G740" s="36">
        <v>3.0</v>
      </c>
      <c r="H740" s="43">
        <f t="shared" si="195"/>
        <v>5.85</v>
      </c>
      <c r="I740" s="43">
        <f t="shared" si="196"/>
        <v>35.1</v>
      </c>
      <c r="J740" s="37"/>
      <c r="K740" s="45">
        <f t="shared" si="197"/>
        <v>0</v>
      </c>
    </row>
    <row r="741" ht="15.0" customHeight="1">
      <c r="A741" s="39" t="s">
        <v>932</v>
      </c>
      <c r="B741" s="40" t="s">
        <v>933</v>
      </c>
      <c r="C741" s="41">
        <v>6.0</v>
      </c>
      <c r="D741" s="33" t="s">
        <v>934</v>
      </c>
      <c r="E741" s="42">
        <v>10.25</v>
      </c>
      <c r="F741" s="35">
        <v>61.5</v>
      </c>
      <c r="G741" s="36">
        <v>3.0</v>
      </c>
      <c r="H741" s="43">
        <f t="shared" si="195"/>
        <v>10.75</v>
      </c>
      <c r="I741" s="43">
        <f t="shared" si="196"/>
        <v>64.5</v>
      </c>
      <c r="J741" s="37"/>
      <c r="K741" s="45">
        <f t="shared" si="197"/>
        <v>0</v>
      </c>
    </row>
    <row r="742" ht="15.0" customHeight="1">
      <c r="A742" s="39" t="s">
        <v>935</v>
      </c>
      <c r="B742" s="40" t="s">
        <v>760</v>
      </c>
      <c r="C742" s="41">
        <v>6.0</v>
      </c>
      <c r="D742" s="33">
        <v>3.26328012737E12</v>
      </c>
      <c r="E742" s="42">
        <v>7.25</v>
      </c>
      <c r="F742" s="35">
        <v>43.5</v>
      </c>
      <c r="G742" s="36">
        <v>3.0</v>
      </c>
      <c r="H742" s="43">
        <f t="shared" si="195"/>
        <v>7.75</v>
      </c>
      <c r="I742" s="43">
        <f t="shared" si="196"/>
        <v>46.5</v>
      </c>
      <c r="J742" s="37"/>
      <c r="K742" s="45">
        <f t="shared" si="197"/>
        <v>0</v>
      </c>
    </row>
    <row r="743" ht="15.0" customHeight="1">
      <c r="A743" s="30" t="s">
        <v>936</v>
      </c>
      <c r="B743" s="31"/>
      <c r="C743" s="32"/>
      <c r="D743" s="33"/>
      <c r="E743" s="34"/>
      <c r="F743" s="35"/>
      <c r="G743" s="36"/>
      <c r="H743" s="43"/>
      <c r="I743" s="43"/>
      <c r="J743" s="37"/>
      <c r="K743" s="45"/>
    </row>
    <row r="744" ht="15.0" customHeight="1">
      <c r="A744" s="39" t="s">
        <v>937</v>
      </c>
      <c r="B744" s="40" t="s">
        <v>760</v>
      </c>
      <c r="C744" s="41">
        <v>6.0</v>
      </c>
      <c r="D744" s="33">
        <v>3.296180000047E12</v>
      </c>
      <c r="E744" s="42">
        <v>3.95</v>
      </c>
      <c r="F744" s="35">
        <v>23.7</v>
      </c>
      <c r="G744" s="36">
        <v>3.0</v>
      </c>
      <c r="H744" s="43">
        <f t="shared" ref="H744:H746" si="198">I744/C744</f>
        <v>4.45</v>
      </c>
      <c r="I744" s="43">
        <f t="shared" ref="I744:I746" si="199">F744+G744</f>
        <v>26.7</v>
      </c>
      <c r="J744" s="37"/>
      <c r="K744" s="45">
        <f t="shared" ref="K744:K746" si="200">I744*J744</f>
        <v>0</v>
      </c>
    </row>
    <row r="745" ht="15.0" customHeight="1">
      <c r="A745" s="39" t="s">
        <v>938</v>
      </c>
      <c r="B745" s="40" t="s">
        <v>760</v>
      </c>
      <c r="C745" s="41">
        <v>6.0</v>
      </c>
      <c r="D745" s="33">
        <v>3.296180004229E12</v>
      </c>
      <c r="E745" s="42">
        <v>3.95</v>
      </c>
      <c r="F745" s="35">
        <v>23.7</v>
      </c>
      <c r="G745" s="36">
        <v>3.0</v>
      </c>
      <c r="H745" s="43">
        <f t="shared" si="198"/>
        <v>4.45</v>
      </c>
      <c r="I745" s="43">
        <f t="shared" si="199"/>
        <v>26.7</v>
      </c>
      <c r="J745" s="37"/>
      <c r="K745" s="45">
        <f t="shared" si="200"/>
        <v>0</v>
      </c>
    </row>
    <row r="746" ht="15.0" customHeight="1">
      <c r="A746" s="39" t="s">
        <v>939</v>
      </c>
      <c r="B746" s="40" t="s">
        <v>760</v>
      </c>
      <c r="C746" s="41">
        <v>6.0</v>
      </c>
      <c r="D746" s="33">
        <v>3.296180000016E12</v>
      </c>
      <c r="E746" s="42">
        <v>3.95</v>
      </c>
      <c r="F746" s="35">
        <v>23.7</v>
      </c>
      <c r="G746" s="36">
        <v>3.0</v>
      </c>
      <c r="H746" s="43">
        <f t="shared" si="198"/>
        <v>4.45</v>
      </c>
      <c r="I746" s="43">
        <f t="shared" si="199"/>
        <v>26.7</v>
      </c>
      <c r="J746" s="37"/>
      <c r="K746" s="45">
        <f t="shared" si="200"/>
        <v>0</v>
      </c>
    </row>
    <row r="747" ht="15.0" customHeight="1">
      <c r="A747" s="30" t="s">
        <v>940</v>
      </c>
      <c r="B747" s="31"/>
      <c r="C747" s="32"/>
      <c r="D747" s="33"/>
      <c r="E747" s="34"/>
      <c r="F747" s="35"/>
      <c r="G747" s="36"/>
      <c r="H747" s="43"/>
      <c r="I747" s="43"/>
      <c r="J747" s="37"/>
      <c r="K747" s="45"/>
    </row>
    <row r="748" ht="15.0" customHeight="1">
      <c r="A748" s="39" t="s">
        <v>941</v>
      </c>
      <c r="B748" s="40" t="s">
        <v>760</v>
      </c>
      <c r="C748" s="41">
        <v>6.0</v>
      </c>
      <c r="D748" s="33">
        <v>3.29618000793E12</v>
      </c>
      <c r="E748" s="42">
        <v>4.5</v>
      </c>
      <c r="F748" s="35">
        <v>27.0</v>
      </c>
      <c r="G748" s="36">
        <v>3.0</v>
      </c>
      <c r="H748" s="43">
        <f t="shared" ref="H748:H750" si="201">I748/C748</f>
        <v>5</v>
      </c>
      <c r="I748" s="43">
        <f t="shared" ref="I748:I750" si="202">F748+G748</f>
        <v>30</v>
      </c>
      <c r="J748" s="37"/>
      <c r="K748" s="45">
        <f t="shared" ref="K748:K750" si="203">I748*J748</f>
        <v>0</v>
      </c>
    </row>
    <row r="749" ht="15.0" customHeight="1">
      <c r="A749" s="39" t="s">
        <v>942</v>
      </c>
      <c r="B749" s="40" t="s">
        <v>760</v>
      </c>
      <c r="C749" s="41">
        <v>6.0</v>
      </c>
      <c r="D749" s="33">
        <v>3.296180007978E12</v>
      </c>
      <c r="E749" s="42">
        <v>4.5</v>
      </c>
      <c r="F749" s="35">
        <v>27.0</v>
      </c>
      <c r="G749" s="36">
        <v>3.0</v>
      </c>
      <c r="H749" s="43">
        <f t="shared" si="201"/>
        <v>5</v>
      </c>
      <c r="I749" s="43">
        <f t="shared" si="202"/>
        <v>30</v>
      </c>
      <c r="J749" s="37"/>
      <c r="K749" s="45">
        <f t="shared" si="203"/>
        <v>0</v>
      </c>
    </row>
    <row r="750" ht="15.0" customHeight="1">
      <c r="A750" s="39" t="s">
        <v>943</v>
      </c>
      <c r="B750" s="40" t="s">
        <v>760</v>
      </c>
      <c r="C750" s="41">
        <v>6.0</v>
      </c>
      <c r="D750" s="33">
        <v>3.296180008005E12</v>
      </c>
      <c r="E750" s="42">
        <v>4.5</v>
      </c>
      <c r="F750" s="35">
        <v>27.0</v>
      </c>
      <c r="G750" s="36">
        <v>3.0</v>
      </c>
      <c r="H750" s="43">
        <f t="shared" si="201"/>
        <v>5</v>
      </c>
      <c r="I750" s="43">
        <f t="shared" si="202"/>
        <v>30</v>
      </c>
      <c r="J750" s="37"/>
      <c r="K750" s="45">
        <f t="shared" si="203"/>
        <v>0</v>
      </c>
    </row>
    <row r="751" ht="15.0" customHeight="1">
      <c r="A751" s="30" t="s">
        <v>944</v>
      </c>
      <c r="B751" s="31"/>
      <c r="C751" s="32"/>
      <c r="D751" s="33"/>
      <c r="E751" s="34"/>
      <c r="F751" s="35"/>
      <c r="G751" s="36"/>
      <c r="H751" s="43"/>
      <c r="I751" s="43"/>
      <c r="J751" s="37"/>
      <c r="K751" s="45"/>
    </row>
    <row r="752" ht="15.0" customHeight="1">
      <c r="A752" s="39" t="s">
        <v>945</v>
      </c>
      <c r="B752" s="40" t="s">
        <v>760</v>
      </c>
      <c r="C752" s="41">
        <v>6.0</v>
      </c>
      <c r="D752" s="33">
        <v>3.760167392604E12</v>
      </c>
      <c r="E752" s="42">
        <v>3.15</v>
      </c>
      <c r="F752" s="35">
        <v>18.9</v>
      </c>
      <c r="G752" s="36">
        <v>3.0</v>
      </c>
      <c r="H752" s="43">
        <f t="shared" ref="H752:H756" si="204">I752/C752</f>
        <v>3.65</v>
      </c>
      <c r="I752" s="43">
        <f t="shared" ref="I752:I756" si="205">F752+G752</f>
        <v>21.9</v>
      </c>
      <c r="J752" s="37"/>
      <c r="K752" s="45">
        <f t="shared" ref="K752:K756" si="206">I752*J752</f>
        <v>0</v>
      </c>
    </row>
    <row r="753" ht="15.0" customHeight="1">
      <c r="A753" s="39" t="s">
        <v>946</v>
      </c>
      <c r="B753" s="40" t="s">
        <v>760</v>
      </c>
      <c r="C753" s="41">
        <v>6.0</v>
      </c>
      <c r="D753" s="33">
        <v>3.760167392727E12</v>
      </c>
      <c r="E753" s="42">
        <v>3.15</v>
      </c>
      <c r="F753" s="35">
        <v>18.9</v>
      </c>
      <c r="G753" s="36">
        <v>3.0</v>
      </c>
      <c r="H753" s="43">
        <f t="shared" si="204"/>
        <v>3.65</v>
      </c>
      <c r="I753" s="43">
        <f t="shared" si="205"/>
        <v>21.9</v>
      </c>
      <c r="J753" s="37"/>
      <c r="K753" s="45">
        <f t="shared" si="206"/>
        <v>0</v>
      </c>
    </row>
    <row r="754" ht="15.0" customHeight="1">
      <c r="A754" s="39" t="s">
        <v>947</v>
      </c>
      <c r="B754" s="40" t="s">
        <v>760</v>
      </c>
      <c r="C754" s="41">
        <v>6.0</v>
      </c>
      <c r="D754" s="33">
        <v>3.760167391959E12</v>
      </c>
      <c r="E754" s="42">
        <v>3.55</v>
      </c>
      <c r="F754" s="35">
        <v>21.3</v>
      </c>
      <c r="G754" s="36">
        <v>3.0</v>
      </c>
      <c r="H754" s="43">
        <f t="shared" si="204"/>
        <v>4.05</v>
      </c>
      <c r="I754" s="43">
        <f t="shared" si="205"/>
        <v>24.3</v>
      </c>
      <c r="J754" s="37"/>
      <c r="K754" s="45">
        <f t="shared" si="206"/>
        <v>0</v>
      </c>
    </row>
    <row r="755" ht="15.0" customHeight="1">
      <c r="A755" s="39" t="s">
        <v>948</v>
      </c>
      <c r="B755" s="40" t="s">
        <v>760</v>
      </c>
      <c r="C755" s="41">
        <v>6.0</v>
      </c>
      <c r="D755" s="33">
        <v>3.76016739338E12</v>
      </c>
      <c r="E755" s="42">
        <v>3.55</v>
      </c>
      <c r="F755" s="35">
        <v>21.3</v>
      </c>
      <c r="G755" s="36">
        <v>3.0</v>
      </c>
      <c r="H755" s="43">
        <f t="shared" si="204"/>
        <v>4.05</v>
      </c>
      <c r="I755" s="43">
        <f t="shared" si="205"/>
        <v>24.3</v>
      </c>
      <c r="J755" s="37"/>
      <c r="K755" s="45">
        <f t="shared" si="206"/>
        <v>0</v>
      </c>
    </row>
    <row r="756" ht="15.0" customHeight="1">
      <c r="A756" s="39" t="s">
        <v>949</v>
      </c>
      <c r="B756" s="40" t="s">
        <v>760</v>
      </c>
      <c r="C756" s="41">
        <v>6.0</v>
      </c>
      <c r="D756" s="33">
        <v>3.76016739383E12</v>
      </c>
      <c r="E756" s="42">
        <v>3.45</v>
      </c>
      <c r="F756" s="35">
        <v>20.7</v>
      </c>
      <c r="G756" s="36">
        <v>3.0</v>
      </c>
      <c r="H756" s="43">
        <f t="shared" si="204"/>
        <v>3.95</v>
      </c>
      <c r="I756" s="43">
        <f t="shared" si="205"/>
        <v>23.7</v>
      </c>
      <c r="J756" s="37"/>
      <c r="K756" s="45">
        <f t="shared" si="206"/>
        <v>0</v>
      </c>
    </row>
    <row r="757" ht="15.0" customHeight="1">
      <c r="A757" s="30" t="s">
        <v>950</v>
      </c>
      <c r="B757" s="31"/>
      <c r="C757" s="32"/>
      <c r="D757" s="33"/>
      <c r="E757" s="34"/>
      <c r="F757" s="35"/>
      <c r="G757" s="36"/>
      <c r="H757" s="43"/>
      <c r="I757" s="43"/>
      <c r="J757" s="37"/>
      <c r="K757" s="45"/>
    </row>
    <row r="758" ht="15.0" customHeight="1">
      <c r="A758" s="39" t="s">
        <v>951</v>
      </c>
      <c r="B758" s="40" t="s">
        <v>760</v>
      </c>
      <c r="C758" s="41">
        <v>6.0</v>
      </c>
      <c r="D758" s="33">
        <v>3.211200037612E12</v>
      </c>
      <c r="E758" s="42">
        <v>2.19</v>
      </c>
      <c r="F758" s="35">
        <v>13.14</v>
      </c>
      <c r="G758" s="36">
        <v>3.0</v>
      </c>
      <c r="H758" s="43">
        <f t="shared" ref="H758:H762" si="207">I758/C758</f>
        <v>2.69</v>
      </c>
      <c r="I758" s="43">
        <f t="shared" ref="I758:I762" si="208">F758+G758</f>
        <v>16.14</v>
      </c>
      <c r="J758" s="37"/>
      <c r="K758" s="45">
        <f t="shared" ref="K758:K762" si="209">I758*J758</f>
        <v>0</v>
      </c>
    </row>
    <row r="759" ht="15.0" customHeight="1">
      <c r="A759" s="39" t="s">
        <v>952</v>
      </c>
      <c r="B759" s="40" t="s">
        <v>760</v>
      </c>
      <c r="C759" s="41">
        <v>6.0</v>
      </c>
      <c r="D759" s="33" t="s">
        <v>953</v>
      </c>
      <c r="E759" s="42">
        <v>3.8</v>
      </c>
      <c r="F759" s="35">
        <v>22.8</v>
      </c>
      <c r="G759" s="36">
        <v>3.0</v>
      </c>
      <c r="H759" s="43">
        <f t="shared" si="207"/>
        <v>4.3</v>
      </c>
      <c r="I759" s="43">
        <f t="shared" si="208"/>
        <v>25.8</v>
      </c>
      <c r="J759" s="37"/>
      <c r="K759" s="45">
        <f t="shared" si="209"/>
        <v>0</v>
      </c>
    </row>
    <row r="760" ht="15.0" customHeight="1">
      <c r="A760" s="39" t="s">
        <v>954</v>
      </c>
      <c r="B760" s="40" t="s">
        <v>760</v>
      </c>
      <c r="C760" s="41">
        <v>6.0</v>
      </c>
      <c r="D760" s="33">
        <v>3.760167391157E12</v>
      </c>
      <c r="E760" s="42">
        <v>3.8</v>
      </c>
      <c r="F760" s="35">
        <v>22.8</v>
      </c>
      <c r="G760" s="36">
        <v>3.0</v>
      </c>
      <c r="H760" s="43">
        <f t="shared" si="207"/>
        <v>4.3</v>
      </c>
      <c r="I760" s="43">
        <f t="shared" si="208"/>
        <v>25.8</v>
      </c>
      <c r="J760" s="37"/>
      <c r="K760" s="45">
        <f t="shared" si="209"/>
        <v>0</v>
      </c>
    </row>
    <row r="761" ht="15.0" customHeight="1">
      <c r="A761" s="39" t="s">
        <v>955</v>
      </c>
      <c r="B761" s="40" t="s">
        <v>760</v>
      </c>
      <c r="C761" s="41">
        <v>6.0</v>
      </c>
      <c r="D761" s="33">
        <v>3.760167391171E12</v>
      </c>
      <c r="E761" s="42">
        <v>3.8</v>
      </c>
      <c r="F761" s="35">
        <v>22.8</v>
      </c>
      <c r="G761" s="36">
        <v>3.0</v>
      </c>
      <c r="H761" s="43">
        <f t="shared" si="207"/>
        <v>4.3</v>
      </c>
      <c r="I761" s="43">
        <f t="shared" si="208"/>
        <v>25.8</v>
      </c>
      <c r="J761" s="37"/>
      <c r="K761" s="45">
        <f t="shared" si="209"/>
        <v>0</v>
      </c>
    </row>
    <row r="762" ht="15.0" customHeight="1">
      <c r="A762" s="39" t="s">
        <v>956</v>
      </c>
      <c r="B762" s="40" t="s">
        <v>760</v>
      </c>
      <c r="C762" s="41">
        <v>6.0</v>
      </c>
      <c r="D762" s="33">
        <v>3.76016739143E12</v>
      </c>
      <c r="E762" s="42">
        <v>4.15</v>
      </c>
      <c r="F762" s="35">
        <v>24.9</v>
      </c>
      <c r="G762" s="36">
        <v>3.0</v>
      </c>
      <c r="H762" s="43">
        <f t="shared" si="207"/>
        <v>4.65</v>
      </c>
      <c r="I762" s="43">
        <f t="shared" si="208"/>
        <v>27.9</v>
      </c>
      <c r="J762" s="37"/>
      <c r="K762" s="45">
        <f t="shared" si="209"/>
        <v>0</v>
      </c>
    </row>
    <row r="763" ht="15.0" customHeight="1">
      <c r="A763" s="30" t="s">
        <v>957</v>
      </c>
      <c r="B763" s="31"/>
      <c r="C763" s="32"/>
      <c r="D763" s="33"/>
      <c r="E763" s="34"/>
      <c r="F763" s="35"/>
      <c r="G763" s="36"/>
      <c r="H763" s="43"/>
      <c r="I763" s="43"/>
      <c r="J763" s="37"/>
      <c r="K763" s="45"/>
    </row>
    <row r="764" ht="15.0" customHeight="1">
      <c r="A764" s="39" t="s">
        <v>958</v>
      </c>
      <c r="B764" s="40" t="s">
        <v>760</v>
      </c>
      <c r="C764" s="41">
        <v>6.0</v>
      </c>
      <c r="D764" s="33">
        <v>3.760167393502E12</v>
      </c>
      <c r="E764" s="42">
        <v>3.95</v>
      </c>
      <c r="F764" s="35">
        <v>23.7</v>
      </c>
      <c r="G764" s="36">
        <v>3.0</v>
      </c>
      <c r="H764" s="43">
        <f t="shared" ref="H764:H766" si="210">I764/C764</f>
        <v>4.45</v>
      </c>
      <c r="I764" s="43">
        <f t="shared" ref="I764:I766" si="211">F764+G764</f>
        <v>26.7</v>
      </c>
      <c r="J764" s="37"/>
      <c r="K764" s="45">
        <f t="shared" ref="K764:K766" si="212">I764*J764</f>
        <v>0</v>
      </c>
    </row>
    <row r="765" ht="15.0" customHeight="1">
      <c r="A765" s="39" t="s">
        <v>959</v>
      </c>
      <c r="B765" s="40" t="s">
        <v>760</v>
      </c>
      <c r="C765" s="41">
        <v>6.0</v>
      </c>
      <c r="D765" s="33">
        <v>3.760167392505E12</v>
      </c>
      <c r="E765" s="42">
        <v>3.85</v>
      </c>
      <c r="F765" s="35">
        <v>23.1</v>
      </c>
      <c r="G765" s="36">
        <v>3.0</v>
      </c>
      <c r="H765" s="43">
        <f t="shared" si="210"/>
        <v>4.35</v>
      </c>
      <c r="I765" s="43">
        <f t="shared" si="211"/>
        <v>26.1</v>
      </c>
      <c r="J765" s="37"/>
      <c r="K765" s="45">
        <f t="shared" si="212"/>
        <v>0</v>
      </c>
    </row>
    <row r="766" ht="15.0" customHeight="1">
      <c r="A766" s="39" t="s">
        <v>960</v>
      </c>
      <c r="B766" s="40" t="s">
        <v>760</v>
      </c>
      <c r="C766" s="41">
        <v>6.0</v>
      </c>
      <c r="D766" s="33">
        <v>3.760167391508E12</v>
      </c>
      <c r="E766" s="42">
        <v>3.85</v>
      </c>
      <c r="F766" s="35">
        <v>23.1</v>
      </c>
      <c r="G766" s="36">
        <v>3.0</v>
      </c>
      <c r="H766" s="43">
        <f t="shared" si="210"/>
        <v>4.35</v>
      </c>
      <c r="I766" s="43">
        <f t="shared" si="211"/>
        <v>26.1</v>
      </c>
      <c r="J766" s="37"/>
      <c r="K766" s="45">
        <f t="shared" si="212"/>
        <v>0</v>
      </c>
    </row>
    <row r="767" ht="15.0" customHeight="1">
      <c r="A767" s="30" t="s">
        <v>961</v>
      </c>
      <c r="B767" s="31"/>
      <c r="C767" s="32"/>
      <c r="D767" s="33"/>
      <c r="E767" s="34"/>
      <c r="F767" s="35"/>
      <c r="G767" s="36"/>
      <c r="H767" s="43"/>
      <c r="I767" s="43"/>
      <c r="J767" s="37"/>
      <c r="K767" s="45"/>
    </row>
    <row r="768" ht="15.0" customHeight="1">
      <c r="A768" s="39" t="s">
        <v>962</v>
      </c>
      <c r="B768" s="40" t="s">
        <v>760</v>
      </c>
      <c r="C768" s="41">
        <v>6.0</v>
      </c>
      <c r="D768" s="33">
        <v>3.175520018624E12</v>
      </c>
      <c r="E768" s="42">
        <v>2.95</v>
      </c>
      <c r="F768" s="35">
        <v>17.7</v>
      </c>
      <c r="G768" s="36">
        <v>1.0</v>
      </c>
      <c r="H768" s="43">
        <f t="shared" ref="H768:H775" si="213">I768/C768</f>
        <v>3.116666667</v>
      </c>
      <c r="I768" s="43">
        <f t="shared" ref="I768:I775" si="214">F768+G768</f>
        <v>18.7</v>
      </c>
      <c r="J768" s="37"/>
      <c r="K768" s="45">
        <f t="shared" ref="K768:K775" si="215">I768*J768</f>
        <v>0</v>
      </c>
    </row>
    <row r="769" ht="15.0" customHeight="1">
      <c r="A769" s="39" t="s">
        <v>963</v>
      </c>
      <c r="B769" s="40" t="s">
        <v>760</v>
      </c>
      <c r="C769" s="41">
        <v>6.0</v>
      </c>
      <c r="D769" s="102">
        <v>3.175529665379E12</v>
      </c>
      <c r="E769" s="42">
        <v>2.55</v>
      </c>
      <c r="F769" s="35">
        <v>15.3</v>
      </c>
      <c r="G769" s="36">
        <v>1.0</v>
      </c>
      <c r="H769" s="43">
        <f t="shared" si="213"/>
        <v>2.716666667</v>
      </c>
      <c r="I769" s="43">
        <f t="shared" si="214"/>
        <v>16.3</v>
      </c>
      <c r="J769" s="37"/>
      <c r="K769" s="45">
        <f t="shared" si="215"/>
        <v>0</v>
      </c>
    </row>
    <row r="770" ht="15.0" customHeight="1">
      <c r="A770" s="39" t="s">
        <v>964</v>
      </c>
      <c r="B770" s="40" t="s">
        <v>760</v>
      </c>
      <c r="C770" s="41">
        <v>6.0</v>
      </c>
      <c r="D770" s="33">
        <v>3.175520018594E12</v>
      </c>
      <c r="E770" s="42">
        <v>2.55</v>
      </c>
      <c r="F770" s="35">
        <v>15.3</v>
      </c>
      <c r="G770" s="36">
        <v>1.0</v>
      </c>
      <c r="H770" s="43">
        <f t="shared" si="213"/>
        <v>2.716666667</v>
      </c>
      <c r="I770" s="43">
        <f t="shared" si="214"/>
        <v>16.3</v>
      </c>
      <c r="J770" s="37"/>
      <c r="K770" s="45">
        <f t="shared" si="215"/>
        <v>0</v>
      </c>
    </row>
    <row r="771" ht="15.0" customHeight="1">
      <c r="A771" s="39" t="s">
        <v>965</v>
      </c>
      <c r="B771" s="40" t="s">
        <v>760</v>
      </c>
      <c r="C771" s="41">
        <v>6.0</v>
      </c>
      <c r="D771" s="33">
        <v>3.175520018686E12</v>
      </c>
      <c r="E771" s="42">
        <v>2.55</v>
      </c>
      <c r="F771" s="35">
        <v>15.3</v>
      </c>
      <c r="G771" s="36">
        <v>1.0</v>
      </c>
      <c r="H771" s="43">
        <f t="shared" si="213"/>
        <v>2.716666667</v>
      </c>
      <c r="I771" s="43">
        <f t="shared" si="214"/>
        <v>16.3</v>
      </c>
      <c r="J771" s="37"/>
      <c r="K771" s="45">
        <f t="shared" si="215"/>
        <v>0</v>
      </c>
    </row>
    <row r="772" ht="15.0" customHeight="1">
      <c r="A772" s="39" t="s">
        <v>966</v>
      </c>
      <c r="B772" s="40" t="s">
        <v>760</v>
      </c>
      <c r="C772" s="41">
        <v>6.0</v>
      </c>
      <c r="D772" s="33">
        <v>3.175529633224E12</v>
      </c>
      <c r="E772" s="42">
        <v>2.55</v>
      </c>
      <c r="F772" s="35">
        <v>15.3</v>
      </c>
      <c r="G772" s="36">
        <v>1.0</v>
      </c>
      <c r="H772" s="43">
        <f t="shared" si="213"/>
        <v>2.716666667</v>
      </c>
      <c r="I772" s="43">
        <f t="shared" si="214"/>
        <v>16.3</v>
      </c>
      <c r="J772" s="37"/>
      <c r="K772" s="45">
        <f t="shared" si="215"/>
        <v>0</v>
      </c>
    </row>
    <row r="773" ht="15.0" customHeight="1">
      <c r="A773" s="39" t="s">
        <v>967</v>
      </c>
      <c r="B773" s="40" t="s">
        <v>760</v>
      </c>
      <c r="C773" s="41">
        <v>6.0</v>
      </c>
      <c r="D773" s="33">
        <v>3.175520020597E12</v>
      </c>
      <c r="E773" s="42">
        <v>2.55</v>
      </c>
      <c r="F773" s="35">
        <v>15.3</v>
      </c>
      <c r="G773" s="36">
        <v>1.0</v>
      </c>
      <c r="H773" s="43">
        <f t="shared" si="213"/>
        <v>2.716666667</v>
      </c>
      <c r="I773" s="43">
        <f t="shared" si="214"/>
        <v>16.3</v>
      </c>
      <c r="J773" s="37"/>
      <c r="K773" s="45">
        <f t="shared" si="215"/>
        <v>0</v>
      </c>
    </row>
    <row r="774" ht="15.0" customHeight="1">
      <c r="A774" s="39" t="s">
        <v>968</v>
      </c>
      <c r="B774" s="40" t="s">
        <v>760</v>
      </c>
      <c r="C774" s="41">
        <v>6.0</v>
      </c>
      <c r="D774" s="33">
        <v>3.175520018716E12</v>
      </c>
      <c r="E774" s="42">
        <v>2.55</v>
      </c>
      <c r="F774" s="35">
        <v>15.3</v>
      </c>
      <c r="G774" s="36">
        <v>1.0</v>
      </c>
      <c r="H774" s="43">
        <f t="shared" si="213"/>
        <v>2.716666667</v>
      </c>
      <c r="I774" s="43">
        <f t="shared" si="214"/>
        <v>16.3</v>
      </c>
      <c r="J774" s="37"/>
      <c r="K774" s="45">
        <f t="shared" si="215"/>
        <v>0</v>
      </c>
    </row>
    <row r="775" ht="15.0" customHeight="1">
      <c r="A775" s="39" t="s">
        <v>969</v>
      </c>
      <c r="B775" s="40" t="s">
        <v>760</v>
      </c>
      <c r="C775" s="41">
        <v>6.0</v>
      </c>
      <c r="D775" s="33">
        <v>3.175520018655E12</v>
      </c>
      <c r="E775" s="42">
        <v>2.55</v>
      </c>
      <c r="F775" s="35">
        <v>15.3</v>
      </c>
      <c r="G775" s="36">
        <v>1.0</v>
      </c>
      <c r="H775" s="43">
        <f t="shared" si="213"/>
        <v>2.716666667</v>
      </c>
      <c r="I775" s="43">
        <f t="shared" si="214"/>
        <v>16.3</v>
      </c>
      <c r="J775" s="37"/>
      <c r="K775" s="45">
        <f t="shared" si="215"/>
        <v>0</v>
      </c>
    </row>
    <row r="776" ht="15.0" customHeight="1">
      <c r="A776" s="30" t="s">
        <v>970</v>
      </c>
      <c r="B776" s="31"/>
      <c r="C776" s="32"/>
      <c r="D776" s="33"/>
      <c r="E776" s="34"/>
      <c r="F776" s="35"/>
      <c r="G776" s="36"/>
      <c r="H776" s="43"/>
      <c r="I776" s="43"/>
      <c r="J776" s="37"/>
      <c r="K776" s="45"/>
    </row>
    <row r="777" ht="15.0" customHeight="1">
      <c r="A777" s="39" t="s">
        <v>971</v>
      </c>
      <c r="B777" s="40" t="s">
        <v>760</v>
      </c>
      <c r="C777" s="41">
        <v>6.0</v>
      </c>
      <c r="D777" s="33">
        <v>3.263286301316E12</v>
      </c>
      <c r="E777" s="42">
        <v>2.55</v>
      </c>
      <c r="F777" s="35">
        <v>15.3</v>
      </c>
      <c r="G777" s="36">
        <v>1.0</v>
      </c>
      <c r="H777" s="43">
        <f t="shared" ref="H777:H780" si="216">I777/C777</f>
        <v>2.716666667</v>
      </c>
      <c r="I777" s="43">
        <f t="shared" ref="I777:I780" si="217">F777+G777</f>
        <v>16.3</v>
      </c>
      <c r="J777" s="37"/>
      <c r="K777" s="45">
        <f t="shared" ref="K777:K780" si="218">I777*J777</f>
        <v>0</v>
      </c>
    </row>
    <row r="778" ht="15.0" customHeight="1">
      <c r="A778" s="39" t="s">
        <v>972</v>
      </c>
      <c r="B778" s="40" t="s">
        <v>760</v>
      </c>
      <c r="C778" s="41">
        <v>6.0</v>
      </c>
      <c r="D778" s="33">
        <v>3.263286301385E12</v>
      </c>
      <c r="E778" s="42">
        <v>2.55</v>
      </c>
      <c r="F778" s="35">
        <v>15.3</v>
      </c>
      <c r="G778" s="36">
        <v>1.0</v>
      </c>
      <c r="H778" s="43">
        <f t="shared" si="216"/>
        <v>2.716666667</v>
      </c>
      <c r="I778" s="43">
        <f t="shared" si="217"/>
        <v>16.3</v>
      </c>
      <c r="J778" s="37"/>
      <c r="K778" s="45">
        <f t="shared" si="218"/>
        <v>0</v>
      </c>
    </row>
    <row r="779" ht="15.0" customHeight="1">
      <c r="A779" s="39" t="s">
        <v>973</v>
      </c>
      <c r="B779" s="40" t="s">
        <v>760</v>
      </c>
      <c r="C779" s="41">
        <v>6.0</v>
      </c>
      <c r="D779" s="33">
        <v>3.263286301323E12</v>
      </c>
      <c r="E779" s="42">
        <v>2.55</v>
      </c>
      <c r="F779" s="35">
        <v>15.3</v>
      </c>
      <c r="G779" s="36">
        <v>1.0</v>
      </c>
      <c r="H779" s="43">
        <f t="shared" si="216"/>
        <v>2.716666667</v>
      </c>
      <c r="I779" s="43">
        <f t="shared" si="217"/>
        <v>16.3</v>
      </c>
      <c r="J779" s="37"/>
      <c r="K779" s="45">
        <f t="shared" si="218"/>
        <v>0</v>
      </c>
    </row>
    <row r="780" ht="15.0" customHeight="1">
      <c r="A780" s="39" t="s">
        <v>974</v>
      </c>
      <c r="B780" s="40" t="s">
        <v>760</v>
      </c>
      <c r="C780" s="41">
        <v>6.0</v>
      </c>
      <c r="D780" s="33">
        <v>3.263286328993E12</v>
      </c>
      <c r="E780" s="42">
        <v>2.55</v>
      </c>
      <c r="F780" s="35">
        <v>15.3</v>
      </c>
      <c r="G780" s="36">
        <v>1.0</v>
      </c>
      <c r="H780" s="43">
        <f t="shared" si="216"/>
        <v>2.716666667</v>
      </c>
      <c r="I780" s="43">
        <f t="shared" si="217"/>
        <v>16.3</v>
      </c>
      <c r="J780" s="37"/>
      <c r="K780" s="45">
        <f t="shared" si="218"/>
        <v>0</v>
      </c>
    </row>
    <row r="781" ht="15.0" customHeight="1">
      <c r="A781" s="30" t="s">
        <v>975</v>
      </c>
      <c r="B781" s="31"/>
      <c r="C781" s="32"/>
      <c r="D781" s="33"/>
      <c r="E781" s="34"/>
      <c r="F781" s="35"/>
      <c r="G781" s="36"/>
      <c r="H781" s="43"/>
      <c r="I781" s="43"/>
      <c r="J781" s="37"/>
      <c r="K781" s="45"/>
    </row>
    <row r="782" ht="15.0" customHeight="1">
      <c r="A782" s="39" t="s">
        <v>976</v>
      </c>
      <c r="B782" s="40" t="s">
        <v>760</v>
      </c>
      <c r="C782" s="41">
        <v>6.0</v>
      </c>
      <c r="D782" s="33">
        <v>3.179071000978E12</v>
      </c>
      <c r="E782" s="42">
        <v>2.5</v>
      </c>
      <c r="F782" s="35">
        <v>15.0</v>
      </c>
      <c r="G782" s="36">
        <v>1.0</v>
      </c>
      <c r="H782" s="43">
        <f t="shared" ref="H782:H784" si="219">I782/C782</f>
        <v>2.666666667</v>
      </c>
      <c r="I782" s="43">
        <f t="shared" ref="I782:I784" si="220">F782+G782</f>
        <v>16</v>
      </c>
      <c r="J782" s="37"/>
      <c r="K782" s="45">
        <f t="shared" ref="K782:K784" si="221">I782*J782</f>
        <v>0</v>
      </c>
    </row>
    <row r="783" ht="15.0" customHeight="1">
      <c r="A783" s="39" t="s">
        <v>977</v>
      </c>
      <c r="B783" s="40" t="s">
        <v>760</v>
      </c>
      <c r="C783" s="41">
        <v>6.0</v>
      </c>
      <c r="D783" s="33" t="s">
        <v>978</v>
      </c>
      <c r="E783" s="42">
        <v>2.5</v>
      </c>
      <c r="F783" s="35">
        <v>15.0</v>
      </c>
      <c r="G783" s="36">
        <v>1.0</v>
      </c>
      <c r="H783" s="43">
        <f t="shared" si="219"/>
        <v>2.666666667</v>
      </c>
      <c r="I783" s="43">
        <f t="shared" si="220"/>
        <v>16</v>
      </c>
      <c r="J783" s="37"/>
      <c r="K783" s="45">
        <f t="shared" si="221"/>
        <v>0</v>
      </c>
    </row>
    <row r="784" ht="15.0" customHeight="1">
      <c r="A784" s="39" t="s">
        <v>979</v>
      </c>
      <c r="B784" s="40" t="s">
        <v>760</v>
      </c>
      <c r="C784" s="41">
        <v>6.0</v>
      </c>
      <c r="D784" s="33">
        <v>3.179071001005E12</v>
      </c>
      <c r="E784" s="42">
        <v>2.5</v>
      </c>
      <c r="F784" s="35">
        <v>15.0</v>
      </c>
      <c r="G784" s="36">
        <v>1.0</v>
      </c>
      <c r="H784" s="43">
        <f t="shared" si="219"/>
        <v>2.666666667</v>
      </c>
      <c r="I784" s="43">
        <f t="shared" si="220"/>
        <v>16</v>
      </c>
      <c r="J784" s="37"/>
      <c r="K784" s="45">
        <f t="shared" si="221"/>
        <v>0</v>
      </c>
    </row>
    <row r="785" ht="15.0" customHeight="1">
      <c r="A785" s="30" t="s">
        <v>980</v>
      </c>
      <c r="B785" s="31"/>
      <c r="C785" s="32"/>
      <c r="D785" s="33"/>
      <c r="E785" s="34"/>
      <c r="F785" s="35"/>
      <c r="G785" s="36"/>
      <c r="H785" s="43"/>
      <c r="I785" s="43"/>
      <c r="J785" s="37"/>
      <c r="K785" s="45"/>
    </row>
    <row r="786" ht="15.0" customHeight="1">
      <c r="A786" s="39" t="s">
        <v>981</v>
      </c>
      <c r="B786" s="40" t="s">
        <v>760</v>
      </c>
      <c r="C786" s="41">
        <v>6.0</v>
      </c>
      <c r="D786" s="33">
        <v>3.486640007031E12</v>
      </c>
      <c r="E786" s="42">
        <v>3.15</v>
      </c>
      <c r="F786" s="35">
        <v>18.9</v>
      </c>
      <c r="G786" s="36">
        <v>3.0</v>
      </c>
      <c r="H786" s="43">
        <f t="shared" ref="H786:H787" si="222">I786/C786</f>
        <v>3.65</v>
      </c>
      <c r="I786" s="43">
        <f t="shared" ref="I786:I787" si="223">F786+G786</f>
        <v>21.9</v>
      </c>
      <c r="J786" s="37"/>
      <c r="K786" s="45">
        <f t="shared" ref="K786:K787" si="224">I786*J786</f>
        <v>0</v>
      </c>
    </row>
    <row r="787" ht="15.0" customHeight="1">
      <c r="A787" s="39" t="s">
        <v>982</v>
      </c>
      <c r="B787" s="40" t="s">
        <v>760</v>
      </c>
      <c r="C787" s="41">
        <v>6.0</v>
      </c>
      <c r="D787" s="33">
        <v>3.486640007055E12</v>
      </c>
      <c r="E787" s="42">
        <v>3.15</v>
      </c>
      <c r="F787" s="35">
        <v>18.9</v>
      </c>
      <c r="G787" s="36">
        <v>3.0</v>
      </c>
      <c r="H787" s="43">
        <f t="shared" si="222"/>
        <v>3.65</v>
      </c>
      <c r="I787" s="43">
        <f t="shared" si="223"/>
        <v>21.9</v>
      </c>
      <c r="J787" s="37"/>
      <c r="K787" s="45">
        <f t="shared" si="224"/>
        <v>0</v>
      </c>
    </row>
    <row r="788" ht="15.0" customHeight="1">
      <c r="A788" s="30" t="s">
        <v>983</v>
      </c>
      <c r="B788" s="31"/>
      <c r="C788" s="32"/>
      <c r="D788" s="33"/>
      <c r="E788" s="34"/>
      <c r="F788" s="35"/>
      <c r="G788" s="36"/>
      <c r="H788" s="43"/>
      <c r="I788" s="43"/>
      <c r="J788" s="37"/>
      <c r="K788" s="45"/>
    </row>
    <row r="789" ht="15.0" customHeight="1">
      <c r="A789" s="39" t="s">
        <v>984</v>
      </c>
      <c r="B789" s="40" t="s">
        <v>760</v>
      </c>
      <c r="C789" s="41">
        <v>6.0</v>
      </c>
      <c r="D789" s="33">
        <v>3.272590340164E12</v>
      </c>
      <c r="E789" s="42">
        <v>3.95</v>
      </c>
      <c r="F789" s="35">
        <v>23.7</v>
      </c>
      <c r="G789" s="36">
        <v>3.0</v>
      </c>
      <c r="H789" s="43">
        <f t="shared" ref="H789:H791" si="225">I789/C789</f>
        <v>4.45</v>
      </c>
      <c r="I789" s="43">
        <f t="shared" ref="I789:I791" si="226">F789+G789</f>
        <v>26.7</v>
      </c>
      <c r="J789" s="37"/>
      <c r="K789" s="45">
        <f t="shared" ref="K789:K791" si="227">I789*J789</f>
        <v>0</v>
      </c>
    </row>
    <row r="790" ht="15.0" customHeight="1">
      <c r="A790" s="39" t="s">
        <v>985</v>
      </c>
      <c r="B790" s="40" t="s">
        <v>760</v>
      </c>
      <c r="C790" s="41">
        <v>6.0</v>
      </c>
      <c r="D790" s="33">
        <v>3.280110660005E12</v>
      </c>
      <c r="E790" s="42">
        <v>3.95</v>
      </c>
      <c r="F790" s="35">
        <v>23.7</v>
      </c>
      <c r="G790" s="36">
        <v>3.0</v>
      </c>
      <c r="H790" s="43">
        <f t="shared" si="225"/>
        <v>4.45</v>
      </c>
      <c r="I790" s="43">
        <f t="shared" si="226"/>
        <v>26.7</v>
      </c>
      <c r="J790" s="37"/>
      <c r="K790" s="45">
        <f t="shared" si="227"/>
        <v>0</v>
      </c>
    </row>
    <row r="791" ht="15.0" customHeight="1">
      <c r="A791" s="39" t="s">
        <v>986</v>
      </c>
      <c r="B791" s="40" t="s">
        <v>760</v>
      </c>
      <c r="C791" s="41">
        <v>6.0</v>
      </c>
      <c r="D791" s="33">
        <v>3.272590340171E12</v>
      </c>
      <c r="E791" s="42">
        <v>3.95</v>
      </c>
      <c r="F791" s="35">
        <v>23.7</v>
      </c>
      <c r="G791" s="36">
        <v>3.0</v>
      </c>
      <c r="H791" s="43">
        <f t="shared" si="225"/>
        <v>4.45</v>
      </c>
      <c r="I791" s="43">
        <f t="shared" si="226"/>
        <v>26.7</v>
      </c>
      <c r="J791" s="37"/>
      <c r="K791" s="45">
        <f t="shared" si="227"/>
        <v>0</v>
      </c>
    </row>
    <row r="792" ht="15.0" customHeight="1">
      <c r="A792" s="30" t="s">
        <v>987</v>
      </c>
      <c r="B792" s="31"/>
      <c r="C792" s="32"/>
      <c r="D792" s="33"/>
      <c r="E792" s="34"/>
      <c r="F792" s="35"/>
      <c r="G792" s="36"/>
      <c r="H792" s="43"/>
      <c r="I792" s="43"/>
      <c r="J792" s="37"/>
      <c r="K792" s="45"/>
    </row>
    <row r="793" ht="15.0" customHeight="1">
      <c r="A793" s="39" t="s">
        <v>988</v>
      </c>
      <c r="B793" s="40" t="s">
        <v>760</v>
      </c>
      <c r="C793" s="41">
        <v>6.0</v>
      </c>
      <c r="D793" s="33">
        <v>3.211209269434E12</v>
      </c>
      <c r="E793" s="42">
        <v>2.45</v>
      </c>
      <c r="F793" s="35">
        <v>14.7</v>
      </c>
      <c r="G793" s="36">
        <v>1.0</v>
      </c>
      <c r="H793" s="43">
        <f t="shared" ref="H793:H802" si="228">I793/C793</f>
        <v>2.616666667</v>
      </c>
      <c r="I793" s="43">
        <f t="shared" ref="I793:I802" si="229">F793+G793</f>
        <v>15.7</v>
      </c>
      <c r="J793" s="37"/>
      <c r="K793" s="45">
        <f t="shared" ref="K793:K802" si="230">I793*J793</f>
        <v>0</v>
      </c>
    </row>
    <row r="794" ht="15.0" customHeight="1">
      <c r="A794" s="39" t="s">
        <v>989</v>
      </c>
      <c r="B794" s="40" t="s">
        <v>760</v>
      </c>
      <c r="C794" s="41">
        <v>6.0</v>
      </c>
      <c r="D794" s="33">
        <v>3.211209254461E12</v>
      </c>
      <c r="E794" s="42">
        <v>2.45</v>
      </c>
      <c r="F794" s="35">
        <v>14.7</v>
      </c>
      <c r="G794" s="36">
        <v>1.0</v>
      </c>
      <c r="H794" s="43">
        <f t="shared" si="228"/>
        <v>2.616666667</v>
      </c>
      <c r="I794" s="43">
        <f t="shared" si="229"/>
        <v>15.7</v>
      </c>
      <c r="J794" s="37"/>
      <c r="K794" s="45">
        <f t="shared" si="230"/>
        <v>0</v>
      </c>
    </row>
    <row r="795" ht="15.0" customHeight="1">
      <c r="A795" s="48" t="s">
        <v>990</v>
      </c>
      <c r="B795" s="40" t="s">
        <v>760</v>
      </c>
      <c r="C795" s="41">
        <v>6.0</v>
      </c>
      <c r="D795" s="33">
        <v>3.211200315864E12</v>
      </c>
      <c r="E795" s="42">
        <v>2.45</v>
      </c>
      <c r="F795" s="35">
        <v>14.7</v>
      </c>
      <c r="G795" s="36">
        <v>1.0</v>
      </c>
      <c r="H795" s="43">
        <f t="shared" si="228"/>
        <v>2.616666667</v>
      </c>
      <c r="I795" s="43">
        <f t="shared" si="229"/>
        <v>15.7</v>
      </c>
      <c r="J795" s="37"/>
      <c r="K795" s="45">
        <f t="shared" si="230"/>
        <v>0</v>
      </c>
    </row>
    <row r="796" ht="15.0" customHeight="1">
      <c r="A796" s="39" t="s">
        <v>991</v>
      </c>
      <c r="B796" s="40" t="s">
        <v>760</v>
      </c>
      <c r="C796" s="41">
        <v>6.0</v>
      </c>
      <c r="D796" s="33">
        <v>3.211209269533E12</v>
      </c>
      <c r="E796" s="42">
        <v>2.45</v>
      </c>
      <c r="F796" s="35">
        <v>14.7</v>
      </c>
      <c r="G796" s="36">
        <v>1.0</v>
      </c>
      <c r="H796" s="43">
        <f t="shared" si="228"/>
        <v>2.616666667</v>
      </c>
      <c r="I796" s="43">
        <f t="shared" si="229"/>
        <v>15.7</v>
      </c>
      <c r="J796" s="37"/>
      <c r="K796" s="45">
        <f t="shared" si="230"/>
        <v>0</v>
      </c>
    </row>
    <row r="797" ht="15.0" customHeight="1">
      <c r="A797" s="39" t="s">
        <v>992</v>
      </c>
      <c r="B797" s="40" t="s">
        <v>760</v>
      </c>
      <c r="C797" s="41">
        <v>6.0</v>
      </c>
      <c r="D797" s="33">
        <v>3.211209239208E12</v>
      </c>
      <c r="E797" s="42">
        <v>2.45</v>
      </c>
      <c r="F797" s="35">
        <v>14.7</v>
      </c>
      <c r="G797" s="36">
        <v>1.0</v>
      </c>
      <c r="H797" s="43">
        <f t="shared" si="228"/>
        <v>2.616666667</v>
      </c>
      <c r="I797" s="43">
        <f t="shared" si="229"/>
        <v>15.7</v>
      </c>
      <c r="J797" s="37"/>
      <c r="K797" s="45">
        <f t="shared" si="230"/>
        <v>0</v>
      </c>
    </row>
    <row r="798" ht="15.0" customHeight="1">
      <c r="A798" s="39" t="s">
        <v>993</v>
      </c>
      <c r="B798" s="40" t="s">
        <v>760</v>
      </c>
      <c r="C798" s="41">
        <v>6.0</v>
      </c>
      <c r="D798" s="33">
        <v>3.211209207917E12</v>
      </c>
      <c r="E798" s="42">
        <v>2.45</v>
      </c>
      <c r="F798" s="35">
        <v>14.7</v>
      </c>
      <c r="G798" s="36">
        <v>1.0</v>
      </c>
      <c r="H798" s="43">
        <f t="shared" si="228"/>
        <v>2.616666667</v>
      </c>
      <c r="I798" s="43">
        <f t="shared" si="229"/>
        <v>15.7</v>
      </c>
      <c r="J798" s="37"/>
      <c r="K798" s="45">
        <f t="shared" si="230"/>
        <v>0</v>
      </c>
    </row>
    <row r="799" ht="15.0" customHeight="1">
      <c r="A799" s="39" t="s">
        <v>994</v>
      </c>
      <c r="B799" s="40" t="s">
        <v>760</v>
      </c>
      <c r="C799" s="41">
        <v>6.0</v>
      </c>
      <c r="D799" s="33">
        <v>3.211209289647E12</v>
      </c>
      <c r="E799" s="42">
        <v>2.45</v>
      </c>
      <c r="F799" s="35">
        <v>14.7</v>
      </c>
      <c r="G799" s="36">
        <v>1.0</v>
      </c>
      <c r="H799" s="43">
        <f t="shared" si="228"/>
        <v>2.616666667</v>
      </c>
      <c r="I799" s="43">
        <f t="shared" si="229"/>
        <v>15.7</v>
      </c>
      <c r="J799" s="37"/>
      <c r="K799" s="45">
        <f t="shared" si="230"/>
        <v>0</v>
      </c>
    </row>
    <row r="800" ht="15.0" customHeight="1">
      <c r="A800" s="39" t="s">
        <v>995</v>
      </c>
      <c r="B800" s="40" t="s">
        <v>760</v>
      </c>
      <c r="C800" s="41">
        <v>6.0</v>
      </c>
      <c r="D800" s="33">
        <v>3.211209220503E12</v>
      </c>
      <c r="E800" s="42">
        <v>2.45</v>
      </c>
      <c r="F800" s="35">
        <v>14.7</v>
      </c>
      <c r="G800" s="36">
        <v>1.0</v>
      </c>
      <c r="H800" s="43">
        <f t="shared" si="228"/>
        <v>2.616666667</v>
      </c>
      <c r="I800" s="43">
        <f t="shared" si="229"/>
        <v>15.7</v>
      </c>
      <c r="J800" s="37"/>
      <c r="K800" s="45">
        <f t="shared" si="230"/>
        <v>0</v>
      </c>
    </row>
    <row r="801" ht="15.0" customHeight="1">
      <c r="A801" s="39" t="s">
        <v>996</v>
      </c>
      <c r="B801" s="40" t="s">
        <v>760</v>
      </c>
      <c r="C801" s="41">
        <v>6.0</v>
      </c>
      <c r="D801" s="33">
        <v>3.211200103737E12</v>
      </c>
      <c r="E801" s="42">
        <v>3.1</v>
      </c>
      <c r="F801" s="35">
        <v>18.6</v>
      </c>
      <c r="G801" s="36">
        <v>1.0</v>
      </c>
      <c r="H801" s="43">
        <f t="shared" si="228"/>
        <v>3.266666667</v>
      </c>
      <c r="I801" s="43">
        <f t="shared" si="229"/>
        <v>19.6</v>
      </c>
      <c r="J801" s="37"/>
      <c r="K801" s="45">
        <f t="shared" si="230"/>
        <v>0</v>
      </c>
    </row>
    <row r="802" ht="15.0" customHeight="1">
      <c r="A802" s="39" t="s">
        <v>997</v>
      </c>
      <c r="B802" s="40" t="s">
        <v>760</v>
      </c>
      <c r="C802" s="41">
        <v>6.0</v>
      </c>
      <c r="D802" s="33">
        <v>3.211200103782E12</v>
      </c>
      <c r="E802" s="42">
        <v>3.1</v>
      </c>
      <c r="F802" s="35">
        <v>18.6</v>
      </c>
      <c r="G802" s="36">
        <v>1.0</v>
      </c>
      <c r="H802" s="43">
        <f t="shared" si="228"/>
        <v>3.266666667</v>
      </c>
      <c r="I802" s="43">
        <f t="shared" si="229"/>
        <v>19.6</v>
      </c>
      <c r="J802" s="37"/>
      <c r="K802" s="45">
        <f t="shared" si="230"/>
        <v>0</v>
      </c>
    </row>
    <row r="803" ht="15.0" customHeight="1">
      <c r="A803" s="30" t="s">
        <v>998</v>
      </c>
      <c r="B803" s="31"/>
      <c r="C803" s="32"/>
      <c r="D803" s="33"/>
      <c r="E803" s="34"/>
      <c r="F803" s="35"/>
      <c r="G803" s="36"/>
      <c r="H803" s="43"/>
      <c r="I803" s="43"/>
      <c r="J803" s="37"/>
      <c r="K803" s="45"/>
    </row>
    <row r="804" ht="15.0" customHeight="1">
      <c r="A804" s="39" t="s">
        <v>999</v>
      </c>
      <c r="B804" s="40" t="s">
        <v>760</v>
      </c>
      <c r="C804" s="41">
        <v>6.0</v>
      </c>
      <c r="D804" s="33" t="s">
        <v>248</v>
      </c>
      <c r="E804" s="42">
        <v>4.65</v>
      </c>
      <c r="F804" s="35">
        <v>27.9</v>
      </c>
      <c r="G804" s="36">
        <v>1.0</v>
      </c>
      <c r="H804" s="43">
        <f t="shared" ref="H804:H808" si="231">I804/C804</f>
        <v>4.816666667</v>
      </c>
      <c r="I804" s="43">
        <f t="shared" ref="I804:I808" si="232">F804+G804</f>
        <v>28.9</v>
      </c>
      <c r="J804" s="37"/>
      <c r="K804" s="45">
        <f t="shared" ref="K804:K808" si="233">I804*J804</f>
        <v>0</v>
      </c>
    </row>
    <row r="805" ht="15.0" customHeight="1">
      <c r="A805" s="39" t="s">
        <v>1000</v>
      </c>
      <c r="B805" s="40" t="s">
        <v>760</v>
      </c>
      <c r="C805" s="41">
        <v>6.0</v>
      </c>
      <c r="D805" s="33" t="s">
        <v>248</v>
      </c>
      <c r="E805" s="42">
        <v>7.15</v>
      </c>
      <c r="F805" s="35">
        <v>42.9</v>
      </c>
      <c r="G805" s="36">
        <v>1.0</v>
      </c>
      <c r="H805" s="43">
        <f t="shared" si="231"/>
        <v>7.316666667</v>
      </c>
      <c r="I805" s="43">
        <f t="shared" si="232"/>
        <v>43.9</v>
      </c>
      <c r="J805" s="37"/>
      <c r="K805" s="45">
        <f t="shared" si="233"/>
        <v>0</v>
      </c>
    </row>
    <row r="806" ht="15.0" customHeight="1">
      <c r="A806" s="39" t="s">
        <v>1001</v>
      </c>
      <c r="B806" s="40" t="s">
        <v>760</v>
      </c>
      <c r="C806" s="41">
        <v>6.0</v>
      </c>
      <c r="D806" s="33">
        <v>3.359880100025E12</v>
      </c>
      <c r="E806" s="42">
        <v>6.95</v>
      </c>
      <c r="F806" s="35">
        <v>41.7</v>
      </c>
      <c r="G806" s="36">
        <v>3.0</v>
      </c>
      <c r="H806" s="43">
        <f t="shared" si="231"/>
        <v>7.45</v>
      </c>
      <c r="I806" s="43">
        <f t="shared" si="232"/>
        <v>44.7</v>
      </c>
      <c r="J806" s="37"/>
      <c r="K806" s="45">
        <f t="shared" si="233"/>
        <v>0</v>
      </c>
    </row>
    <row r="807" ht="15.0" customHeight="1">
      <c r="A807" s="39" t="s">
        <v>1002</v>
      </c>
      <c r="B807" s="40" t="s">
        <v>760</v>
      </c>
      <c r="C807" s="41">
        <v>6.0</v>
      </c>
      <c r="D807" s="33" t="s">
        <v>248</v>
      </c>
      <c r="E807" s="42">
        <v>4.95</v>
      </c>
      <c r="F807" s="35">
        <v>29.7</v>
      </c>
      <c r="G807" s="36">
        <v>1.0</v>
      </c>
      <c r="H807" s="43">
        <f t="shared" si="231"/>
        <v>5.116666667</v>
      </c>
      <c r="I807" s="43">
        <f t="shared" si="232"/>
        <v>30.7</v>
      </c>
      <c r="J807" s="37"/>
      <c r="K807" s="45">
        <f t="shared" si="233"/>
        <v>0</v>
      </c>
    </row>
    <row r="808" ht="15.0" customHeight="1">
      <c r="A808" s="39" t="s">
        <v>1003</v>
      </c>
      <c r="B808" s="40" t="s">
        <v>760</v>
      </c>
      <c r="C808" s="41">
        <v>6.0</v>
      </c>
      <c r="D808" s="33" t="s">
        <v>248</v>
      </c>
      <c r="E808" s="42">
        <v>7.35</v>
      </c>
      <c r="F808" s="35">
        <v>44.1</v>
      </c>
      <c r="G808" s="36">
        <v>1.0</v>
      </c>
      <c r="H808" s="43">
        <f t="shared" si="231"/>
        <v>7.516666667</v>
      </c>
      <c r="I808" s="43">
        <f t="shared" si="232"/>
        <v>45.1</v>
      </c>
      <c r="J808" s="37"/>
      <c r="K808" s="45">
        <f t="shared" si="233"/>
        <v>0</v>
      </c>
    </row>
    <row r="809" ht="15.0" customHeight="1">
      <c r="A809" s="30" t="s">
        <v>1004</v>
      </c>
      <c r="B809" s="31"/>
      <c r="C809" s="32"/>
      <c r="D809" s="33"/>
      <c r="E809" s="34"/>
      <c r="F809" s="35"/>
      <c r="G809" s="36"/>
      <c r="H809" s="43"/>
      <c r="I809" s="43"/>
      <c r="J809" s="37"/>
      <c r="K809" s="45"/>
    </row>
    <row r="810" ht="15.0" customHeight="1">
      <c r="A810" s="48" t="s">
        <v>1005</v>
      </c>
      <c r="B810" s="40" t="s">
        <v>760</v>
      </c>
      <c r="C810" s="41">
        <v>6.0</v>
      </c>
      <c r="D810" s="33">
        <v>3.760085610019E12</v>
      </c>
      <c r="E810" s="42">
        <v>5.9</v>
      </c>
      <c r="F810" s="35">
        <f t="shared" ref="F810:F811" si="234">E810*C810</f>
        <v>35.4</v>
      </c>
      <c r="G810" s="36">
        <v>3.0</v>
      </c>
      <c r="H810" s="43">
        <f t="shared" ref="H810:H811" si="235">I810/C810</f>
        <v>6.4</v>
      </c>
      <c r="I810" s="43">
        <f t="shared" ref="I810:I811" si="236">F810+G810</f>
        <v>38.4</v>
      </c>
      <c r="J810" s="37"/>
      <c r="K810" s="45">
        <f t="shared" ref="K810:K811" si="237">I810*J810</f>
        <v>0</v>
      </c>
    </row>
    <row r="811" ht="15.0" customHeight="1">
      <c r="A811" s="48" t="s">
        <v>1006</v>
      </c>
      <c r="B811" s="40" t="s">
        <v>760</v>
      </c>
      <c r="C811" s="41">
        <v>6.0</v>
      </c>
      <c r="D811" s="33">
        <v>3.760085610033E12</v>
      </c>
      <c r="E811" s="42">
        <v>6.9</v>
      </c>
      <c r="F811" s="35">
        <f t="shared" si="234"/>
        <v>41.4</v>
      </c>
      <c r="G811" s="36">
        <v>3.0</v>
      </c>
      <c r="H811" s="43">
        <f t="shared" si="235"/>
        <v>7.4</v>
      </c>
      <c r="I811" s="43">
        <f t="shared" si="236"/>
        <v>44.4</v>
      </c>
      <c r="J811" s="37"/>
      <c r="K811" s="45">
        <f t="shared" si="237"/>
        <v>0</v>
      </c>
    </row>
    <row r="812" ht="15.0" customHeight="1">
      <c r="A812" s="30" t="s">
        <v>1007</v>
      </c>
      <c r="B812" s="31"/>
      <c r="C812" s="32"/>
      <c r="D812" s="33"/>
      <c r="E812" s="34"/>
      <c r="F812" s="35"/>
      <c r="G812" s="36"/>
      <c r="H812" s="43"/>
      <c r="I812" s="43"/>
      <c r="J812" s="37"/>
      <c r="K812" s="45"/>
    </row>
    <row r="813" ht="15.0" customHeight="1">
      <c r="A813" s="39" t="s">
        <v>1008</v>
      </c>
      <c r="B813" s="40" t="s">
        <v>760</v>
      </c>
      <c r="C813" s="41">
        <v>6.0</v>
      </c>
      <c r="D813" s="33" t="s">
        <v>1009</v>
      </c>
      <c r="E813" s="42">
        <v>4.85</v>
      </c>
      <c r="F813" s="35">
        <v>29.1</v>
      </c>
      <c r="G813" s="36">
        <v>3.0</v>
      </c>
      <c r="H813" s="43">
        <f t="shared" ref="H813:H816" si="238">I813/C813</f>
        <v>5.35</v>
      </c>
      <c r="I813" s="43">
        <f t="shared" ref="I813:I816" si="239">F813+G813</f>
        <v>32.1</v>
      </c>
      <c r="J813" s="37"/>
      <c r="K813" s="45">
        <f t="shared" ref="K813:K816" si="240">I813*J813</f>
        <v>0</v>
      </c>
    </row>
    <row r="814" ht="15.0" customHeight="1">
      <c r="A814" s="39" t="s">
        <v>1010</v>
      </c>
      <c r="B814" s="40" t="s">
        <v>760</v>
      </c>
      <c r="C814" s="41">
        <v>6.0</v>
      </c>
      <c r="D814" s="33">
        <v>3.760085610224E12</v>
      </c>
      <c r="E814" s="42">
        <v>5.0</v>
      </c>
      <c r="F814" s="35">
        <v>30.0</v>
      </c>
      <c r="G814" s="36">
        <v>3.0</v>
      </c>
      <c r="H814" s="43">
        <f t="shared" si="238"/>
        <v>5.5</v>
      </c>
      <c r="I814" s="43">
        <f t="shared" si="239"/>
        <v>33</v>
      </c>
      <c r="J814" s="37"/>
      <c r="K814" s="45">
        <f t="shared" si="240"/>
        <v>0</v>
      </c>
    </row>
    <row r="815" ht="15.0" customHeight="1">
      <c r="A815" s="39" t="s">
        <v>1011</v>
      </c>
      <c r="B815" s="40" t="s">
        <v>760</v>
      </c>
      <c r="C815" s="41">
        <v>6.0</v>
      </c>
      <c r="D815" s="33" t="s">
        <v>1012</v>
      </c>
      <c r="E815" s="42">
        <v>6.25</v>
      </c>
      <c r="F815" s="35">
        <v>37.5</v>
      </c>
      <c r="G815" s="36">
        <v>3.0</v>
      </c>
      <c r="H815" s="43">
        <f t="shared" si="238"/>
        <v>6.75</v>
      </c>
      <c r="I815" s="43">
        <f t="shared" si="239"/>
        <v>40.5</v>
      </c>
      <c r="J815" s="37"/>
      <c r="K815" s="45">
        <f t="shared" si="240"/>
        <v>0</v>
      </c>
    </row>
    <row r="816" ht="15.0" customHeight="1">
      <c r="A816" s="39" t="s">
        <v>1013</v>
      </c>
      <c r="B816" s="40" t="s">
        <v>760</v>
      </c>
      <c r="C816" s="41">
        <v>6.0</v>
      </c>
      <c r="D816" s="33">
        <v>3.760085610255E12</v>
      </c>
      <c r="E816" s="42">
        <v>5.0</v>
      </c>
      <c r="F816" s="35">
        <v>30.0</v>
      </c>
      <c r="G816" s="36">
        <v>3.0</v>
      </c>
      <c r="H816" s="43">
        <f t="shared" si="238"/>
        <v>5.5</v>
      </c>
      <c r="I816" s="43">
        <f t="shared" si="239"/>
        <v>33</v>
      </c>
      <c r="J816" s="37"/>
      <c r="K816" s="45">
        <f t="shared" si="240"/>
        <v>0</v>
      </c>
    </row>
    <row r="817" ht="15.0" customHeight="1">
      <c r="A817" s="30" t="s">
        <v>1014</v>
      </c>
      <c r="B817" s="31"/>
      <c r="C817" s="32"/>
      <c r="D817" s="33"/>
      <c r="E817" s="34"/>
      <c r="F817" s="35"/>
      <c r="G817" s="36"/>
      <c r="H817" s="43"/>
      <c r="I817" s="43"/>
      <c r="J817" s="37"/>
      <c r="K817" s="45"/>
    </row>
    <row r="818" ht="15.0" customHeight="1">
      <c r="A818" s="39" t="s">
        <v>1015</v>
      </c>
      <c r="B818" s="40" t="s">
        <v>760</v>
      </c>
      <c r="C818" s="41">
        <v>6.0</v>
      </c>
      <c r="D818" s="33">
        <v>3.221240046895E12</v>
      </c>
      <c r="E818" s="42">
        <v>5.95</v>
      </c>
      <c r="F818" s="35">
        <v>35.7</v>
      </c>
      <c r="G818" s="36">
        <v>1.0</v>
      </c>
      <c r="H818" s="43">
        <f t="shared" ref="H818:H829" si="241">I818/C818</f>
        <v>6.116666667</v>
      </c>
      <c r="I818" s="43">
        <f t="shared" ref="I818:I829" si="242">F818+G818</f>
        <v>36.7</v>
      </c>
      <c r="J818" s="37"/>
      <c r="K818" s="45">
        <f t="shared" ref="K818:K829" si="243">I818*J818</f>
        <v>0</v>
      </c>
    </row>
    <row r="819" ht="15.0" customHeight="1">
      <c r="A819" s="39" t="s">
        <v>1016</v>
      </c>
      <c r="B819" s="40" t="s">
        <v>760</v>
      </c>
      <c r="C819" s="41">
        <v>6.0</v>
      </c>
      <c r="D819" s="33">
        <v>3.221240002952E12</v>
      </c>
      <c r="E819" s="42">
        <v>6.75</v>
      </c>
      <c r="F819" s="35">
        <v>40.5</v>
      </c>
      <c r="G819" s="36">
        <v>3.0</v>
      </c>
      <c r="H819" s="43">
        <f t="shared" si="241"/>
        <v>7.25</v>
      </c>
      <c r="I819" s="43">
        <f t="shared" si="242"/>
        <v>43.5</v>
      </c>
      <c r="J819" s="37"/>
      <c r="K819" s="45">
        <f t="shared" si="243"/>
        <v>0</v>
      </c>
    </row>
    <row r="820" ht="15.0" customHeight="1">
      <c r="A820" s="39" t="s">
        <v>1017</v>
      </c>
      <c r="B820" s="40" t="s">
        <v>760</v>
      </c>
      <c r="C820" s="41">
        <v>6.0</v>
      </c>
      <c r="D820" s="33">
        <v>3.221240056726E12</v>
      </c>
      <c r="E820" s="42">
        <v>6.95</v>
      </c>
      <c r="F820" s="35">
        <v>41.7</v>
      </c>
      <c r="G820" s="36">
        <v>3.0</v>
      </c>
      <c r="H820" s="43">
        <f t="shared" si="241"/>
        <v>7.45</v>
      </c>
      <c r="I820" s="43">
        <f t="shared" si="242"/>
        <v>44.7</v>
      </c>
      <c r="J820" s="37"/>
      <c r="K820" s="45">
        <f t="shared" si="243"/>
        <v>0</v>
      </c>
    </row>
    <row r="821" ht="15.0" customHeight="1">
      <c r="A821" s="39" t="s">
        <v>1018</v>
      </c>
      <c r="B821" s="40" t="s">
        <v>760</v>
      </c>
      <c r="C821" s="41">
        <v>6.0</v>
      </c>
      <c r="D821" s="33">
        <v>3.221249250002E12</v>
      </c>
      <c r="E821" s="42">
        <v>4.85</v>
      </c>
      <c r="F821" s="35">
        <v>29.1</v>
      </c>
      <c r="G821" s="36">
        <v>3.0</v>
      </c>
      <c r="H821" s="43">
        <f t="shared" si="241"/>
        <v>5.35</v>
      </c>
      <c r="I821" s="43">
        <f t="shared" si="242"/>
        <v>32.1</v>
      </c>
      <c r="J821" s="37"/>
      <c r="K821" s="45">
        <f t="shared" si="243"/>
        <v>0</v>
      </c>
    </row>
    <row r="822" ht="15.0" customHeight="1">
      <c r="A822" s="39" t="s">
        <v>1019</v>
      </c>
      <c r="B822" s="40" t="s">
        <v>760</v>
      </c>
      <c r="C822" s="41">
        <v>6.0</v>
      </c>
      <c r="D822" s="33">
        <v>3.221249450006E12</v>
      </c>
      <c r="E822" s="42">
        <v>5.65</v>
      </c>
      <c r="F822" s="35">
        <v>33.9</v>
      </c>
      <c r="G822" s="36">
        <v>3.0</v>
      </c>
      <c r="H822" s="43">
        <f t="shared" si="241"/>
        <v>6.15</v>
      </c>
      <c r="I822" s="43">
        <f t="shared" si="242"/>
        <v>36.9</v>
      </c>
      <c r="J822" s="37"/>
      <c r="K822" s="45">
        <f t="shared" si="243"/>
        <v>0</v>
      </c>
    </row>
    <row r="823" ht="15.0" customHeight="1">
      <c r="A823" s="39" t="s">
        <v>1020</v>
      </c>
      <c r="B823" s="40" t="s">
        <v>760</v>
      </c>
      <c r="C823" s="41">
        <v>6.0</v>
      </c>
      <c r="D823" s="33">
        <v>3.221249750007E12</v>
      </c>
      <c r="E823" s="42">
        <v>5.85</v>
      </c>
      <c r="F823" s="35">
        <v>35.1</v>
      </c>
      <c r="G823" s="36">
        <v>3.0</v>
      </c>
      <c r="H823" s="43">
        <f t="shared" si="241"/>
        <v>6.35</v>
      </c>
      <c r="I823" s="43">
        <f t="shared" si="242"/>
        <v>38.1</v>
      </c>
      <c r="J823" s="37"/>
      <c r="K823" s="45">
        <f t="shared" si="243"/>
        <v>0</v>
      </c>
    </row>
    <row r="824" ht="15.0" customHeight="1">
      <c r="A824" s="39" t="s">
        <v>1021</v>
      </c>
      <c r="B824" s="40" t="s">
        <v>760</v>
      </c>
      <c r="C824" s="41">
        <v>6.0</v>
      </c>
      <c r="D824" s="33">
        <v>3.221249550003E12</v>
      </c>
      <c r="E824" s="42">
        <v>5.45</v>
      </c>
      <c r="F824" s="35">
        <v>32.7</v>
      </c>
      <c r="G824" s="36">
        <v>3.0</v>
      </c>
      <c r="H824" s="43">
        <f t="shared" si="241"/>
        <v>5.95</v>
      </c>
      <c r="I824" s="43">
        <f t="shared" si="242"/>
        <v>35.7</v>
      </c>
      <c r="J824" s="37"/>
      <c r="K824" s="45">
        <f t="shared" si="243"/>
        <v>0</v>
      </c>
    </row>
    <row r="825" ht="15.0" customHeight="1">
      <c r="A825" s="39" t="s">
        <v>1022</v>
      </c>
      <c r="B825" s="40" t="s">
        <v>760</v>
      </c>
      <c r="C825" s="41">
        <v>6.0</v>
      </c>
      <c r="D825" s="33">
        <v>3.221249150005E12</v>
      </c>
      <c r="E825" s="42">
        <v>4.5</v>
      </c>
      <c r="F825" s="35">
        <v>27.0</v>
      </c>
      <c r="G825" s="36">
        <v>3.0</v>
      </c>
      <c r="H825" s="43">
        <f t="shared" si="241"/>
        <v>5</v>
      </c>
      <c r="I825" s="43">
        <f t="shared" si="242"/>
        <v>30</v>
      </c>
      <c r="J825" s="37"/>
      <c r="K825" s="45">
        <f t="shared" si="243"/>
        <v>0</v>
      </c>
    </row>
    <row r="826" ht="15.0" customHeight="1">
      <c r="A826" s="39" t="s">
        <v>1023</v>
      </c>
      <c r="B826" s="40" t="s">
        <v>760</v>
      </c>
      <c r="C826" s="41">
        <v>6.0</v>
      </c>
      <c r="D826" s="33">
        <v>3.221249350009E12</v>
      </c>
      <c r="E826" s="42">
        <v>5.2</v>
      </c>
      <c r="F826" s="35">
        <v>31.2</v>
      </c>
      <c r="G826" s="36">
        <v>3.0</v>
      </c>
      <c r="H826" s="43">
        <f t="shared" si="241"/>
        <v>5.7</v>
      </c>
      <c r="I826" s="43">
        <f t="shared" si="242"/>
        <v>34.2</v>
      </c>
      <c r="J826" s="37"/>
      <c r="K826" s="45">
        <f t="shared" si="243"/>
        <v>0</v>
      </c>
    </row>
    <row r="827" ht="15.0" customHeight="1">
      <c r="A827" s="39" t="s">
        <v>1024</v>
      </c>
      <c r="B827" s="40" t="s">
        <v>760</v>
      </c>
      <c r="C827" s="41">
        <v>6.0</v>
      </c>
      <c r="D827" s="33">
        <v>3.22124965E12</v>
      </c>
      <c r="E827" s="42">
        <v>6.05</v>
      </c>
      <c r="F827" s="35">
        <v>36.3</v>
      </c>
      <c r="G827" s="36">
        <v>3.0</v>
      </c>
      <c r="H827" s="43">
        <f t="shared" si="241"/>
        <v>6.55</v>
      </c>
      <c r="I827" s="43">
        <f t="shared" si="242"/>
        <v>39.3</v>
      </c>
      <c r="J827" s="37"/>
      <c r="K827" s="45">
        <f t="shared" si="243"/>
        <v>0</v>
      </c>
    </row>
    <row r="828" ht="15.0" customHeight="1">
      <c r="A828" s="39" t="s">
        <v>1025</v>
      </c>
      <c r="B828" s="40" t="s">
        <v>760</v>
      </c>
      <c r="C828" s="41">
        <v>6.0</v>
      </c>
      <c r="D828" s="33">
        <v>3.221242859998E12</v>
      </c>
      <c r="E828" s="42">
        <v>5.65</v>
      </c>
      <c r="F828" s="35">
        <v>33.9</v>
      </c>
      <c r="G828" s="36">
        <v>3.0</v>
      </c>
      <c r="H828" s="43">
        <f t="shared" si="241"/>
        <v>6.15</v>
      </c>
      <c r="I828" s="43">
        <f t="shared" si="242"/>
        <v>36.9</v>
      </c>
      <c r="J828" s="37"/>
      <c r="K828" s="45">
        <f t="shared" si="243"/>
        <v>0</v>
      </c>
    </row>
    <row r="829" ht="15.0" customHeight="1">
      <c r="A829" s="39" t="s">
        <v>1026</v>
      </c>
      <c r="B829" s="40" t="s">
        <v>760</v>
      </c>
      <c r="C829" s="41">
        <v>6.0</v>
      </c>
      <c r="D829" s="33">
        <v>3.221240058881E12</v>
      </c>
      <c r="E829" s="42">
        <v>7.05</v>
      </c>
      <c r="F829" s="35">
        <v>42.3</v>
      </c>
      <c r="G829" s="36">
        <v>3.0</v>
      </c>
      <c r="H829" s="43">
        <f t="shared" si="241"/>
        <v>7.55</v>
      </c>
      <c r="I829" s="43">
        <f t="shared" si="242"/>
        <v>45.3</v>
      </c>
      <c r="J829" s="37"/>
      <c r="K829" s="45">
        <f t="shared" si="243"/>
        <v>0</v>
      </c>
    </row>
    <row r="830" ht="15.0" customHeight="1">
      <c r="A830" s="30"/>
      <c r="B830" s="140"/>
      <c r="C830" s="141"/>
      <c r="D830" s="33"/>
      <c r="E830" s="34"/>
      <c r="F830" s="35"/>
      <c r="G830" s="36"/>
      <c r="H830" s="43"/>
      <c r="I830" s="43"/>
      <c r="J830" s="37"/>
      <c r="K830" s="45"/>
    </row>
    <row r="831" ht="15.0" customHeight="1">
      <c r="A831" s="30" t="s">
        <v>1027</v>
      </c>
      <c r="B831" s="140"/>
      <c r="C831" s="141"/>
      <c r="D831" s="33"/>
      <c r="E831" s="34"/>
      <c r="F831" s="35"/>
      <c r="G831" s="36"/>
      <c r="H831" s="43"/>
      <c r="I831" s="43"/>
      <c r="J831" s="37"/>
      <c r="K831" s="45"/>
    </row>
    <row r="832" ht="15.0" customHeight="1">
      <c r="A832" s="39" t="s">
        <v>1028</v>
      </c>
      <c r="B832" s="40" t="s">
        <v>1029</v>
      </c>
      <c r="C832" s="41">
        <v>4.0</v>
      </c>
      <c r="D832" s="33">
        <v>3.211209207948E12</v>
      </c>
      <c r="E832" s="42">
        <v>9.5</v>
      </c>
      <c r="F832" s="35">
        <v>38.0</v>
      </c>
      <c r="G832" s="36">
        <v>1.0</v>
      </c>
      <c r="H832" s="43">
        <f t="shared" ref="H832:H839" si="244">I832/C832</f>
        <v>9.75</v>
      </c>
      <c r="I832" s="43">
        <f t="shared" ref="I832:I839" si="245">F832+G832</f>
        <v>39</v>
      </c>
      <c r="J832" s="37"/>
      <c r="K832" s="45">
        <f t="shared" ref="K832:K839" si="246">I832*J832</f>
        <v>0</v>
      </c>
    </row>
    <row r="833" ht="15.0" customHeight="1">
      <c r="A833" s="39" t="s">
        <v>1030</v>
      </c>
      <c r="B833" s="40" t="s">
        <v>1029</v>
      </c>
      <c r="C833" s="41">
        <v>4.0</v>
      </c>
      <c r="D833" s="33">
        <v>3.211209220541E12</v>
      </c>
      <c r="E833" s="42">
        <v>9.5</v>
      </c>
      <c r="F833" s="35">
        <v>38.0</v>
      </c>
      <c r="G833" s="36">
        <v>1.0</v>
      </c>
      <c r="H833" s="43">
        <f t="shared" si="244"/>
        <v>9.75</v>
      </c>
      <c r="I833" s="43">
        <f t="shared" si="245"/>
        <v>39</v>
      </c>
      <c r="J833" s="37"/>
      <c r="K833" s="45">
        <f t="shared" si="246"/>
        <v>0</v>
      </c>
    </row>
    <row r="834" ht="15.0" customHeight="1">
      <c r="A834" s="39" t="s">
        <v>1031</v>
      </c>
      <c r="B834" s="40" t="s">
        <v>840</v>
      </c>
      <c r="C834" s="41">
        <v>3.0</v>
      </c>
      <c r="D834" s="33">
        <v>3.11272203441E12</v>
      </c>
      <c r="E834" s="42">
        <v>11.5</v>
      </c>
      <c r="F834" s="35">
        <v>34.5</v>
      </c>
      <c r="G834" s="36">
        <v>1.0</v>
      </c>
      <c r="H834" s="43">
        <f t="shared" si="244"/>
        <v>11.83333333</v>
      </c>
      <c r="I834" s="43">
        <f t="shared" si="245"/>
        <v>35.5</v>
      </c>
      <c r="J834" s="37"/>
      <c r="K834" s="45">
        <f t="shared" si="246"/>
        <v>0</v>
      </c>
    </row>
    <row r="835" ht="15.0" customHeight="1">
      <c r="A835" s="39" t="s">
        <v>1032</v>
      </c>
      <c r="B835" s="40" t="s">
        <v>840</v>
      </c>
      <c r="C835" s="41">
        <v>3.0</v>
      </c>
      <c r="D835" s="33">
        <v>3.112722034403E12</v>
      </c>
      <c r="E835" s="42">
        <v>11.5</v>
      </c>
      <c r="F835" s="35">
        <v>34.5</v>
      </c>
      <c r="G835" s="36">
        <v>1.0</v>
      </c>
      <c r="H835" s="43">
        <f t="shared" si="244"/>
        <v>11.83333333</v>
      </c>
      <c r="I835" s="43">
        <f t="shared" si="245"/>
        <v>35.5</v>
      </c>
      <c r="J835" s="37"/>
      <c r="K835" s="45">
        <f t="shared" si="246"/>
        <v>0</v>
      </c>
    </row>
    <row r="836" ht="15.0" customHeight="1">
      <c r="A836" s="39" t="s">
        <v>1033</v>
      </c>
      <c r="B836" s="40" t="s">
        <v>840</v>
      </c>
      <c r="C836" s="41">
        <v>3.0</v>
      </c>
      <c r="D836" s="33">
        <v>3.112722034397E12</v>
      </c>
      <c r="E836" s="42">
        <v>11.5</v>
      </c>
      <c r="F836" s="35">
        <v>34.5</v>
      </c>
      <c r="G836" s="36">
        <v>1.0</v>
      </c>
      <c r="H836" s="43">
        <f t="shared" si="244"/>
        <v>11.83333333</v>
      </c>
      <c r="I836" s="43">
        <f t="shared" si="245"/>
        <v>35.5</v>
      </c>
      <c r="J836" s="37"/>
      <c r="K836" s="45">
        <f t="shared" si="246"/>
        <v>0</v>
      </c>
    </row>
    <row r="837" ht="15.0" customHeight="1">
      <c r="A837" s="39" t="s">
        <v>1034</v>
      </c>
      <c r="B837" s="40" t="s">
        <v>1029</v>
      </c>
      <c r="C837" s="41">
        <v>4.0</v>
      </c>
      <c r="D837" s="33">
        <v>3.211200103416E12</v>
      </c>
      <c r="E837" s="42">
        <v>11.5</v>
      </c>
      <c r="F837" s="35">
        <v>46.0</v>
      </c>
      <c r="G837" s="36">
        <v>1.0</v>
      </c>
      <c r="H837" s="43">
        <f t="shared" si="244"/>
        <v>11.75</v>
      </c>
      <c r="I837" s="43">
        <f t="shared" si="245"/>
        <v>47</v>
      </c>
      <c r="J837" s="37"/>
      <c r="K837" s="45">
        <f t="shared" si="246"/>
        <v>0</v>
      </c>
    </row>
    <row r="838" ht="15.0" customHeight="1">
      <c r="A838" s="39" t="s">
        <v>1035</v>
      </c>
      <c r="B838" s="40" t="s">
        <v>1029</v>
      </c>
      <c r="C838" s="41">
        <v>4.0</v>
      </c>
      <c r="D838" s="33">
        <v>3.211200103461E12</v>
      </c>
      <c r="E838" s="42">
        <v>11.5</v>
      </c>
      <c r="F838" s="35">
        <v>46.0</v>
      </c>
      <c r="G838" s="36">
        <v>1.0</v>
      </c>
      <c r="H838" s="43">
        <f t="shared" si="244"/>
        <v>11.75</v>
      </c>
      <c r="I838" s="43">
        <f t="shared" si="245"/>
        <v>47</v>
      </c>
      <c r="J838" s="37"/>
      <c r="K838" s="45">
        <f t="shared" si="246"/>
        <v>0</v>
      </c>
    </row>
    <row r="839" ht="15.0" customHeight="1">
      <c r="A839" s="39" t="s">
        <v>1036</v>
      </c>
      <c r="B839" s="40" t="s">
        <v>1029</v>
      </c>
      <c r="C839" s="41">
        <v>4.0</v>
      </c>
      <c r="D839" s="33">
        <v>3.211200103515E12</v>
      </c>
      <c r="E839" s="42">
        <v>11.5</v>
      </c>
      <c r="F839" s="35">
        <v>46.0</v>
      </c>
      <c r="G839" s="36">
        <v>1.0</v>
      </c>
      <c r="H839" s="43">
        <f t="shared" si="244"/>
        <v>11.75</v>
      </c>
      <c r="I839" s="43">
        <f t="shared" si="245"/>
        <v>47</v>
      </c>
      <c r="J839" s="37"/>
      <c r="K839" s="45">
        <f t="shared" si="246"/>
        <v>0</v>
      </c>
    </row>
    <row r="840" ht="15.0" customHeight="1">
      <c r="A840" s="133"/>
      <c r="B840" s="31"/>
      <c r="C840" s="32"/>
      <c r="D840" s="33"/>
      <c r="E840" s="34"/>
      <c r="F840" s="35"/>
      <c r="G840" s="36"/>
      <c r="H840" s="43"/>
      <c r="I840" s="43"/>
      <c r="J840" s="37"/>
      <c r="K840" s="45"/>
    </row>
    <row r="841" ht="15.0" customHeight="1">
      <c r="A841" s="30" t="s">
        <v>1037</v>
      </c>
      <c r="B841" s="31"/>
      <c r="C841" s="32"/>
      <c r="D841" s="33"/>
      <c r="E841" s="34"/>
      <c r="F841" s="35"/>
      <c r="G841" s="36"/>
      <c r="H841" s="43"/>
      <c r="I841" s="43"/>
      <c r="J841" s="37"/>
      <c r="K841" s="45"/>
    </row>
    <row r="842" ht="15.0" customHeight="1">
      <c r="A842" s="39" t="s">
        <v>1038</v>
      </c>
      <c r="B842" s="40" t="s">
        <v>760</v>
      </c>
      <c r="C842" s="41">
        <v>6.0</v>
      </c>
      <c r="D842" s="33">
        <v>8.002550504474E12</v>
      </c>
      <c r="E842" s="42">
        <v>2.49</v>
      </c>
      <c r="F842" s="35">
        <v>14.94</v>
      </c>
      <c r="G842" s="36">
        <v>1.0</v>
      </c>
      <c r="H842" s="43">
        <f t="shared" ref="H842:H844" si="247">I842/C842</f>
        <v>2.656666667</v>
      </c>
      <c r="I842" s="43">
        <f t="shared" ref="I842:I844" si="248">F842+G842</f>
        <v>15.94</v>
      </c>
      <c r="J842" s="37"/>
      <c r="K842" s="45">
        <f t="shared" ref="K842:K844" si="249">I842*J842</f>
        <v>0</v>
      </c>
    </row>
    <row r="843" ht="15.0" customHeight="1">
      <c r="A843" s="39" t="s">
        <v>1039</v>
      </c>
      <c r="B843" s="40" t="s">
        <v>760</v>
      </c>
      <c r="C843" s="41">
        <v>6.0</v>
      </c>
      <c r="D843" s="33">
        <v>8.002550504481E12</v>
      </c>
      <c r="E843" s="42">
        <v>2.49</v>
      </c>
      <c r="F843" s="35">
        <v>14.94</v>
      </c>
      <c r="G843" s="36">
        <v>1.0</v>
      </c>
      <c r="H843" s="43">
        <f t="shared" si="247"/>
        <v>2.656666667</v>
      </c>
      <c r="I843" s="43">
        <f t="shared" si="248"/>
        <v>15.94</v>
      </c>
      <c r="J843" s="37"/>
      <c r="K843" s="45">
        <f t="shared" si="249"/>
        <v>0</v>
      </c>
    </row>
    <row r="844" ht="15.0" customHeight="1">
      <c r="A844" s="39" t="s">
        <v>1040</v>
      </c>
      <c r="B844" s="40" t="s">
        <v>760</v>
      </c>
      <c r="C844" s="41">
        <v>6.0</v>
      </c>
      <c r="D844" s="33">
        <v>8.002550504498E12</v>
      </c>
      <c r="E844" s="42">
        <v>2.49</v>
      </c>
      <c r="F844" s="35">
        <v>14.94</v>
      </c>
      <c r="G844" s="36">
        <v>1.0</v>
      </c>
      <c r="H844" s="43">
        <f t="shared" si="247"/>
        <v>2.656666667</v>
      </c>
      <c r="I844" s="43">
        <f t="shared" si="248"/>
        <v>15.94</v>
      </c>
      <c r="J844" s="37"/>
      <c r="K844" s="45">
        <f t="shared" si="249"/>
        <v>0</v>
      </c>
    </row>
    <row r="845" ht="15.0" customHeight="1">
      <c r="A845" s="39"/>
      <c r="B845" s="31"/>
      <c r="C845" s="32"/>
      <c r="D845" s="33"/>
      <c r="E845" s="34"/>
      <c r="F845" s="35"/>
      <c r="G845" s="36"/>
      <c r="H845" s="43"/>
      <c r="I845" s="43"/>
      <c r="J845" s="37"/>
      <c r="K845" s="45"/>
    </row>
    <row r="846" ht="15.0" customHeight="1">
      <c r="A846" s="39" t="s">
        <v>1041</v>
      </c>
      <c r="B846" s="40" t="s">
        <v>18</v>
      </c>
      <c r="C846" s="41">
        <v>6.0</v>
      </c>
      <c r="D846" s="33">
        <v>8.002230350285E12</v>
      </c>
      <c r="E846" s="42">
        <v>12.55</v>
      </c>
      <c r="F846" s="35">
        <v>75.3</v>
      </c>
      <c r="G846" s="36">
        <v>6.0</v>
      </c>
      <c r="H846" s="43">
        <f t="shared" ref="H846:H849" si="250">I846/C846</f>
        <v>13.55</v>
      </c>
      <c r="I846" s="43">
        <f t="shared" ref="I846:I849" si="251">F846+G846</f>
        <v>81.3</v>
      </c>
      <c r="J846" s="37"/>
      <c r="K846" s="45">
        <f t="shared" ref="K846:K849" si="252">I846*J846</f>
        <v>0</v>
      </c>
    </row>
    <row r="847" ht="15.0" customHeight="1">
      <c r="A847" s="39" t="s">
        <v>1042</v>
      </c>
      <c r="B847" s="40" t="s">
        <v>18</v>
      </c>
      <c r="C847" s="41">
        <v>6.0</v>
      </c>
      <c r="D847" s="33">
        <v>5.010103931519E12</v>
      </c>
      <c r="E847" s="42">
        <v>9.0</v>
      </c>
      <c r="F847" s="35">
        <v>54.0</v>
      </c>
      <c r="G847" s="36">
        <v>3.0</v>
      </c>
      <c r="H847" s="43">
        <f t="shared" si="250"/>
        <v>9.5</v>
      </c>
      <c r="I847" s="43">
        <f t="shared" si="251"/>
        <v>57</v>
      </c>
      <c r="J847" s="37"/>
      <c r="K847" s="45">
        <f t="shared" si="252"/>
        <v>0</v>
      </c>
    </row>
    <row r="848" ht="15.0" customHeight="1">
      <c r="A848" s="39" t="s">
        <v>1043</v>
      </c>
      <c r="B848" s="40" t="s">
        <v>18</v>
      </c>
      <c r="C848" s="41">
        <v>6.0</v>
      </c>
      <c r="D848" s="33">
        <v>3.163937010003E12</v>
      </c>
      <c r="E848" s="42">
        <v>16.95</v>
      </c>
      <c r="F848" s="35">
        <v>101.7</v>
      </c>
      <c r="G848" s="36">
        <v>3.0</v>
      </c>
      <c r="H848" s="43">
        <f t="shared" si="250"/>
        <v>17.45</v>
      </c>
      <c r="I848" s="43">
        <f t="shared" si="251"/>
        <v>104.7</v>
      </c>
      <c r="J848" s="37"/>
      <c r="K848" s="45">
        <f t="shared" si="252"/>
        <v>0</v>
      </c>
    </row>
    <row r="849" ht="15.0" customHeight="1">
      <c r="A849" s="39" t="s">
        <v>1044</v>
      </c>
      <c r="B849" s="40" t="s">
        <v>18</v>
      </c>
      <c r="C849" s="41">
        <v>6.0</v>
      </c>
      <c r="D849" s="33">
        <v>8.000040000802E12</v>
      </c>
      <c r="E849" s="42">
        <v>18.0</v>
      </c>
      <c r="F849" s="35">
        <v>108.0</v>
      </c>
      <c r="G849" s="36">
        <v>3.0</v>
      </c>
      <c r="H849" s="43">
        <f t="shared" si="250"/>
        <v>18.5</v>
      </c>
      <c r="I849" s="43">
        <f t="shared" si="251"/>
        <v>111</v>
      </c>
      <c r="J849" s="37"/>
      <c r="K849" s="45">
        <f t="shared" si="252"/>
        <v>0</v>
      </c>
    </row>
    <row r="850" ht="15.0" customHeight="1">
      <c r="A850" s="39"/>
      <c r="B850" s="31"/>
      <c r="C850" s="32"/>
      <c r="D850" s="33"/>
      <c r="E850" s="34"/>
      <c r="F850" s="35"/>
      <c r="G850" s="36"/>
      <c r="H850" s="43"/>
      <c r="I850" s="43"/>
      <c r="J850" s="37"/>
      <c r="K850" s="45"/>
    </row>
    <row r="851" ht="15.0" customHeight="1">
      <c r="A851" s="39" t="s">
        <v>1045</v>
      </c>
      <c r="B851" s="40" t="s">
        <v>18</v>
      </c>
      <c r="C851" s="41">
        <v>6.0</v>
      </c>
      <c r="D851" s="33">
        <v>3.011932000829E12</v>
      </c>
      <c r="E851" s="42">
        <v>7.15</v>
      </c>
      <c r="F851" s="35">
        <v>42.9</v>
      </c>
      <c r="G851" s="36">
        <v>3.0</v>
      </c>
      <c r="H851" s="43">
        <f t="shared" ref="H851:H853" si="253">I851/C851</f>
        <v>7.65</v>
      </c>
      <c r="I851" s="43">
        <f t="shared" ref="I851:I853" si="254">F851+G851</f>
        <v>45.9</v>
      </c>
      <c r="J851" s="37"/>
      <c r="K851" s="45">
        <f t="shared" ref="K851:K853" si="255">I851*J851</f>
        <v>0</v>
      </c>
    </row>
    <row r="852" ht="15.0" customHeight="1">
      <c r="A852" s="39" t="s">
        <v>1046</v>
      </c>
      <c r="B852" s="40" t="s">
        <v>18</v>
      </c>
      <c r="C852" s="41">
        <v>6.0</v>
      </c>
      <c r="D852" s="33">
        <v>3.011932000843E12</v>
      </c>
      <c r="E852" s="42">
        <v>7.15</v>
      </c>
      <c r="F852" s="35">
        <v>42.9</v>
      </c>
      <c r="G852" s="36">
        <v>3.0</v>
      </c>
      <c r="H852" s="43">
        <f t="shared" si="253"/>
        <v>7.65</v>
      </c>
      <c r="I852" s="43">
        <f t="shared" si="254"/>
        <v>45.9</v>
      </c>
      <c r="J852" s="37"/>
      <c r="K852" s="45">
        <f t="shared" si="255"/>
        <v>0</v>
      </c>
    </row>
    <row r="853" ht="15.0" customHeight="1">
      <c r="A853" s="39" t="s">
        <v>1047</v>
      </c>
      <c r="B853" s="40" t="s">
        <v>18</v>
      </c>
      <c r="C853" s="41">
        <v>6.0</v>
      </c>
      <c r="D853" s="33">
        <v>3.011932000805E12</v>
      </c>
      <c r="E853" s="42">
        <v>7.15</v>
      </c>
      <c r="F853" s="35">
        <v>42.9</v>
      </c>
      <c r="G853" s="36">
        <v>3.0</v>
      </c>
      <c r="H853" s="43">
        <f t="shared" si="253"/>
        <v>7.65</v>
      </c>
      <c r="I853" s="43">
        <f t="shared" si="254"/>
        <v>45.9</v>
      </c>
      <c r="J853" s="37"/>
      <c r="K853" s="45">
        <f t="shared" si="255"/>
        <v>0</v>
      </c>
    </row>
    <row r="854" ht="15.0" customHeight="1">
      <c r="A854" s="133"/>
      <c r="B854" s="31"/>
      <c r="C854" s="32"/>
      <c r="D854" s="33"/>
      <c r="E854" s="34"/>
      <c r="F854" s="35"/>
      <c r="G854" s="36"/>
      <c r="H854" s="43"/>
      <c r="I854" s="43"/>
      <c r="J854" s="37"/>
      <c r="K854" s="45"/>
    </row>
    <row r="855" ht="15.0" customHeight="1">
      <c r="A855" s="39" t="s">
        <v>1048</v>
      </c>
      <c r="B855" s="40" t="s">
        <v>760</v>
      </c>
      <c r="C855" s="41">
        <v>6.0</v>
      </c>
      <c r="D855" s="33">
        <v>3.013010004019E12</v>
      </c>
      <c r="E855" s="42">
        <v>4.09</v>
      </c>
      <c r="F855" s="35">
        <v>24.54</v>
      </c>
      <c r="G855" s="36">
        <v>3.0</v>
      </c>
      <c r="H855" s="43">
        <f t="shared" ref="H855:H861" si="256">I855/C855</f>
        <v>4.59</v>
      </c>
      <c r="I855" s="43">
        <f t="shared" ref="I855:I861" si="257">F855+G855</f>
        <v>27.54</v>
      </c>
      <c r="J855" s="37"/>
      <c r="K855" s="45">
        <f t="shared" ref="K855:K861" si="258">I855*J855</f>
        <v>0</v>
      </c>
    </row>
    <row r="856" ht="15.0" customHeight="1">
      <c r="A856" s="39" t="s">
        <v>1049</v>
      </c>
      <c r="B856" s="40" t="s">
        <v>760</v>
      </c>
      <c r="C856" s="41">
        <v>6.0</v>
      </c>
      <c r="D856" s="33">
        <v>4.333465988504E12</v>
      </c>
      <c r="E856" s="42">
        <v>4.69</v>
      </c>
      <c r="F856" s="35">
        <v>28.14</v>
      </c>
      <c r="G856" s="36">
        <v>3.0</v>
      </c>
      <c r="H856" s="43">
        <f t="shared" si="256"/>
        <v>5.19</v>
      </c>
      <c r="I856" s="43">
        <f t="shared" si="257"/>
        <v>31.14</v>
      </c>
      <c r="J856" s="37"/>
      <c r="K856" s="45">
        <f t="shared" si="258"/>
        <v>0</v>
      </c>
    </row>
    <row r="857" ht="15.0" customHeight="1">
      <c r="A857" s="39" t="s">
        <v>1050</v>
      </c>
      <c r="B857" s="40" t="s">
        <v>760</v>
      </c>
      <c r="C857" s="41">
        <v>6.0</v>
      </c>
      <c r="D857" s="33">
        <v>3.359950180469E12</v>
      </c>
      <c r="E857" s="42">
        <v>32.5</v>
      </c>
      <c r="F857" s="35">
        <v>195.0</v>
      </c>
      <c r="G857" s="36">
        <v>12.0</v>
      </c>
      <c r="H857" s="43">
        <f t="shared" si="256"/>
        <v>34.5</v>
      </c>
      <c r="I857" s="43">
        <f t="shared" si="257"/>
        <v>207</v>
      </c>
      <c r="J857" s="37"/>
      <c r="K857" s="45">
        <f t="shared" si="258"/>
        <v>0</v>
      </c>
    </row>
    <row r="858" ht="15.0" customHeight="1">
      <c r="A858" s="39" t="s">
        <v>1051</v>
      </c>
      <c r="B858" s="40" t="s">
        <v>760</v>
      </c>
      <c r="C858" s="41">
        <v>6.0</v>
      </c>
      <c r="D858" s="33">
        <v>3.043700103715E12</v>
      </c>
      <c r="E858" s="42">
        <v>25.9</v>
      </c>
      <c r="F858" s="35">
        <v>155.4</v>
      </c>
      <c r="G858" s="36">
        <v>3.0</v>
      </c>
      <c r="H858" s="43">
        <f t="shared" si="256"/>
        <v>26.4</v>
      </c>
      <c r="I858" s="43">
        <f t="shared" si="257"/>
        <v>158.4</v>
      </c>
      <c r="J858" s="37"/>
      <c r="K858" s="45">
        <f t="shared" si="258"/>
        <v>0</v>
      </c>
    </row>
    <row r="859" ht="15.0" customHeight="1">
      <c r="A859" s="39" t="s">
        <v>1052</v>
      </c>
      <c r="B859" s="40" t="s">
        <v>760</v>
      </c>
      <c r="C859" s="41">
        <v>6.0</v>
      </c>
      <c r="D859" s="33">
        <v>3.18537072996E12</v>
      </c>
      <c r="E859" s="42">
        <v>35.5</v>
      </c>
      <c r="F859" s="35">
        <v>213.0</v>
      </c>
      <c r="G859" s="36">
        <v>3.0</v>
      </c>
      <c r="H859" s="43">
        <f t="shared" si="256"/>
        <v>36</v>
      </c>
      <c r="I859" s="43">
        <f t="shared" si="257"/>
        <v>216</v>
      </c>
      <c r="J859" s="37"/>
      <c r="K859" s="45">
        <f t="shared" si="258"/>
        <v>0</v>
      </c>
    </row>
    <row r="860" ht="15.0" customHeight="1">
      <c r="A860" s="39" t="s">
        <v>1053</v>
      </c>
      <c r="B860" s="40" t="s">
        <v>760</v>
      </c>
      <c r="C860" s="41">
        <v>6.0</v>
      </c>
      <c r="D860" s="33">
        <v>3.185370074831E12</v>
      </c>
      <c r="E860" s="42">
        <v>43.5</v>
      </c>
      <c r="F860" s="35">
        <v>261.0</v>
      </c>
      <c r="G860" s="36">
        <v>3.0</v>
      </c>
      <c r="H860" s="43">
        <f t="shared" si="256"/>
        <v>44</v>
      </c>
      <c r="I860" s="43">
        <f t="shared" si="257"/>
        <v>264</v>
      </c>
      <c r="J860" s="37"/>
      <c r="K860" s="45">
        <f t="shared" si="258"/>
        <v>0</v>
      </c>
    </row>
    <row r="861" ht="15.0" customHeight="1">
      <c r="A861" s="39" t="s">
        <v>1054</v>
      </c>
      <c r="B861" s="40" t="s">
        <v>760</v>
      </c>
      <c r="C861" s="41">
        <v>6.0</v>
      </c>
      <c r="D861" s="33">
        <v>3.185370457054E12</v>
      </c>
      <c r="E861" s="42">
        <v>43.5</v>
      </c>
      <c r="F861" s="35">
        <v>261.0</v>
      </c>
      <c r="G861" s="36">
        <v>3.0</v>
      </c>
      <c r="H861" s="43">
        <f t="shared" si="256"/>
        <v>44</v>
      </c>
      <c r="I861" s="43">
        <f t="shared" si="257"/>
        <v>264</v>
      </c>
      <c r="J861" s="37"/>
      <c r="K861" s="45">
        <f t="shared" si="258"/>
        <v>0</v>
      </c>
    </row>
    <row r="862" ht="15.0" customHeight="1">
      <c r="A862" s="23" t="s">
        <v>1055</v>
      </c>
      <c r="B862" s="24"/>
      <c r="C862" s="23"/>
      <c r="D862" s="25"/>
      <c r="E862" s="26"/>
      <c r="F862" s="26"/>
      <c r="G862" s="142"/>
      <c r="H862" s="142"/>
      <c r="I862" s="142"/>
      <c r="J862" s="28"/>
      <c r="K862" s="142"/>
    </row>
    <row r="863" ht="15.0" customHeight="1">
      <c r="A863" s="39" t="s">
        <v>1056</v>
      </c>
      <c r="B863" s="40" t="s">
        <v>198</v>
      </c>
      <c r="C863" s="41">
        <v>8.0</v>
      </c>
      <c r="D863" s="33">
        <v>3.147690070405E12</v>
      </c>
      <c r="E863" s="56">
        <v>3.55</v>
      </c>
      <c r="F863" s="74">
        <v>28.4</v>
      </c>
      <c r="G863" s="36">
        <v>1.0</v>
      </c>
      <c r="H863" s="43">
        <f t="shared" ref="H863:H897" si="259">I863/C863</f>
        <v>3.675</v>
      </c>
      <c r="I863" s="43">
        <f t="shared" ref="I863:I897" si="260">F863+G863</f>
        <v>29.4</v>
      </c>
      <c r="J863" s="37"/>
      <c r="K863" s="45">
        <f t="shared" ref="K863:K897" si="261">I863*J863</f>
        <v>0</v>
      </c>
    </row>
    <row r="864" ht="15.0" customHeight="1">
      <c r="A864" s="39" t="s">
        <v>1057</v>
      </c>
      <c r="B864" s="40" t="s">
        <v>198</v>
      </c>
      <c r="C864" s="41">
        <v>8.0</v>
      </c>
      <c r="D864" s="102">
        <v>3.1078720057E12</v>
      </c>
      <c r="E864" s="42">
        <v>3.99</v>
      </c>
      <c r="F864" s="35">
        <f t="shared" ref="F864:F870" si="262">E864*C864</f>
        <v>31.92</v>
      </c>
      <c r="G864" s="36">
        <v>1.0</v>
      </c>
      <c r="H864" s="43">
        <f t="shared" si="259"/>
        <v>4.115</v>
      </c>
      <c r="I864" s="43">
        <f t="shared" si="260"/>
        <v>32.92</v>
      </c>
      <c r="J864" s="37"/>
      <c r="K864" s="45">
        <f t="shared" si="261"/>
        <v>0</v>
      </c>
    </row>
    <row r="865" ht="15.0" customHeight="1">
      <c r="A865" s="39" t="s">
        <v>1058</v>
      </c>
      <c r="B865" s="40" t="s">
        <v>198</v>
      </c>
      <c r="C865" s="41">
        <v>8.0</v>
      </c>
      <c r="D865" s="33">
        <v>3.147690073505E12</v>
      </c>
      <c r="E865" s="42">
        <v>3.99</v>
      </c>
      <c r="F865" s="35">
        <f t="shared" si="262"/>
        <v>31.92</v>
      </c>
      <c r="G865" s="36">
        <v>1.0</v>
      </c>
      <c r="H865" s="43">
        <f t="shared" si="259"/>
        <v>4.115</v>
      </c>
      <c r="I865" s="43">
        <f t="shared" si="260"/>
        <v>32.92</v>
      </c>
      <c r="J865" s="37"/>
      <c r="K865" s="45">
        <f t="shared" si="261"/>
        <v>0</v>
      </c>
    </row>
    <row r="866" ht="15.0" customHeight="1">
      <c r="A866" s="39" t="s">
        <v>1059</v>
      </c>
      <c r="B866" s="40" t="s">
        <v>198</v>
      </c>
      <c r="C866" s="41">
        <v>8.0</v>
      </c>
      <c r="D866" s="33">
        <v>3.163937636005E12</v>
      </c>
      <c r="E866" s="42">
        <v>4.25</v>
      </c>
      <c r="F866" s="35">
        <f t="shared" si="262"/>
        <v>34</v>
      </c>
      <c r="G866" s="36">
        <v>1.0</v>
      </c>
      <c r="H866" s="43">
        <f t="shared" si="259"/>
        <v>4.375</v>
      </c>
      <c r="I866" s="43">
        <f t="shared" si="260"/>
        <v>35</v>
      </c>
      <c r="J866" s="37"/>
      <c r="K866" s="45">
        <f t="shared" si="261"/>
        <v>0</v>
      </c>
    </row>
    <row r="867" ht="15.0" customHeight="1">
      <c r="A867" s="39" t="s">
        <v>1060</v>
      </c>
      <c r="B867" s="40" t="s">
        <v>198</v>
      </c>
      <c r="C867" s="41">
        <v>8.0</v>
      </c>
      <c r="D867" s="33">
        <v>5.099873090527E12</v>
      </c>
      <c r="E867" s="42">
        <v>6.85</v>
      </c>
      <c r="F867" s="35">
        <f t="shared" si="262"/>
        <v>54.8</v>
      </c>
      <c r="G867" s="36">
        <v>1.0</v>
      </c>
      <c r="H867" s="43">
        <f t="shared" si="259"/>
        <v>6.975</v>
      </c>
      <c r="I867" s="43">
        <f t="shared" si="260"/>
        <v>55.8</v>
      </c>
      <c r="J867" s="37"/>
      <c r="K867" s="45">
        <f t="shared" si="261"/>
        <v>0</v>
      </c>
    </row>
    <row r="868" ht="15.0" customHeight="1">
      <c r="A868" s="53" t="s">
        <v>1061</v>
      </c>
      <c r="B868" s="58" t="s">
        <v>198</v>
      </c>
      <c r="C868" s="58">
        <v>8.0</v>
      </c>
      <c r="D868" s="51" t="s">
        <v>1062</v>
      </c>
      <c r="E868" s="56">
        <v>3.99</v>
      </c>
      <c r="F868" s="35">
        <f t="shared" si="262"/>
        <v>31.92</v>
      </c>
      <c r="G868" s="36">
        <v>1.0</v>
      </c>
      <c r="H868" s="43">
        <f t="shared" si="259"/>
        <v>4.115</v>
      </c>
      <c r="I868" s="43">
        <f t="shared" si="260"/>
        <v>32.92</v>
      </c>
      <c r="J868" s="37"/>
      <c r="K868" s="45">
        <f t="shared" si="261"/>
        <v>0</v>
      </c>
    </row>
    <row r="869" ht="15.0" customHeight="1">
      <c r="A869" s="53" t="s">
        <v>1063</v>
      </c>
      <c r="B869" s="58" t="s">
        <v>198</v>
      </c>
      <c r="C869" s="58">
        <v>8.0</v>
      </c>
      <c r="D869" s="51" t="s">
        <v>1064</v>
      </c>
      <c r="E869" s="56">
        <v>3.99</v>
      </c>
      <c r="F869" s="35">
        <f t="shared" si="262"/>
        <v>31.92</v>
      </c>
      <c r="G869" s="36">
        <v>1.0</v>
      </c>
      <c r="H869" s="43">
        <f t="shared" si="259"/>
        <v>4.115</v>
      </c>
      <c r="I869" s="43">
        <f t="shared" si="260"/>
        <v>32.92</v>
      </c>
      <c r="J869" s="37"/>
      <c r="K869" s="45">
        <f t="shared" si="261"/>
        <v>0</v>
      </c>
    </row>
    <row r="870" ht="15.0" customHeight="1">
      <c r="A870" s="39" t="s">
        <v>1065</v>
      </c>
      <c r="B870" s="40" t="s">
        <v>231</v>
      </c>
      <c r="C870" s="41">
        <v>12.0</v>
      </c>
      <c r="D870" s="33">
        <v>7.312040017355E12</v>
      </c>
      <c r="E870" s="42">
        <v>9.75</v>
      </c>
      <c r="F870" s="35">
        <f t="shared" si="262"/>
        <v>117</v>
      </c>
      <c r="G870" s="36">
        <v>3.0</v>
      </c>
      <c r="H870" s="43">
        <f t="shared" si="259"/>
        <v>10</v>
      </c>
      <c r="I870" s="43">
        <f t="shared" si="260"/>
        <v>120</v>
      </c>
      <c r="J870" s="37"/>
      <c r="K870" s="45">
        <f t="shared" si="261"/>
        <v>0</v>
      </c>
    </row>
    <row r="871" ht="15.0" customHeight="1">
      <c r="A871" s="39" t="s">
        <v>1066</v>
      </c>
      <c r="B871" s="40" t="s">
        <v>231</v>
      </c>
      <c r="C871" s="41">
        <v>12.0</v>
      </c>
      <c r="D871" s="33">
        <v>5.099873089057E12</v>
      </c>
      <c r="E871" s="42">
        <v>12.25</v>
      </c>
      <c r="F871" s="35">
        <v>147.0</v>
      </c>
      <c r="G871" s="36">
        <v>3.0</v>
      </c>
      <c r="H871" s="43">
        <f t="shared" si="259"/>
        <v>12.5</v>
      </c>
      <c r="I871" s="43">
        <f t="shared" si="260"/>
        <v>150</v>
      </c>
      <c r="J871" s="37"/>
      <c r="K871" s="45">
        <f t="shared" si="261"/>
        <v>0</v>
      </c>
    </row>
    <row r="872" ht="15.0" customHeight="1">
      <c r="A872" s="39" t="s">
        <v>1067</v>
      </c>
      <c r="B872" s="40" t="s">
        <v>231</v>
      </c>
      <c r="C872" s="41">
        <v>12.0</v>
      </c>
      <c r="D872" s="33">
        <v>5.099873060704E12</v>
      </c>
      <c r="E872" s="42">
        <v>12.25</v>
      </c>
      <c r="F872" s="35">
        <v>147.0</v>
      </c>
      <c r="G872" s="36">
        <v>3.0</v>
      </c>
      <c r="H872" s="43">
        <f t="shared" si="259"/>
        <v>12.5</v>
      </c>
      <c r="I872" s="43">
        <f t="shared" si="260"/>
        <v>150</v>
      </c>
      <c r="J872" s="37"/>
      <c r="K872" s="45">
        <f t="shared" si="261"/>
        <v>0</v>
      </c>
    </row>
    <row r="873" ht="15.0" customHeight="1">
      <c r="A873" s="39" t="s">
        <v>1068</v>
      </c>
      <c r="B873" s="40" t="s">
        <v>231</v>
      </c>
      <c r="C873" s="41">
        <v>12.0</v>
      </c>
      <c r="D873" s="33">
        <v>5.099873017616E12</v>
      </c>
      <c r="E873" s="42">
        <v>12.25</v>
      </c>
      <c r="F873" s="35">
        <v>147.0</v>
      </c>
      <c r="G873" s="36">
        <v>3.0</v>
      </c>
      <c r="H873" s="43">
        <f t="shared" si="259"/>
        <v>12.5</v>
      </c>
      <c r="I873" s="43">
        <f t="shared" si="260"/>
        <v>150</v>
      </c>
      <c r="J873" s="37"/>
      <c r="K873" s="45">
        <f t="shared" si="261"/>
        <v>0</v>
      </c>
    </row>
    <row r="874" ht="15.0" customHeight="1">
      <c r="A874" s="39" t="s">
        <v>1069</v>
      </c>
      <c r="B874" s="40" t="s">
        <v>800</v>
      </c>
      <c r="C874" s="41">
        <v>6.0</v>
      </c>
      <c r="D874" s="33">
        <v>7.610113019214E12</v>
      </c>
      <c r="E874" s="42">
        <v>10.35</v>
      </c>
      <c r="F874" s="35">
        <v>62.1</v>
      </c>
      <c r="G874" s="36">
        <v>6.0</v>
      </c>
      <c r="H874" s="43">
        <f t="shared" si="259"/>
        <v>11.35</v>
      </c>
      <c r="I874" s="43">
        <f t="shared" si="260"/>
        <v>68.1</v>
      </c>
      <c r="J874" s="37"/>
      <c r="K874" s="45">
        <f t="shared" si="261"/>
        <v>0</v>
      </c>
    </row>
    <row r="875" ht="15.0" customHeight="1">
      <c r="A875" s="39" t="s">
        <v>1070</v>
      </c>
      <c r="B875" s="40" t="s">
        <v>800</v>
      </c>
      <c r="C875" s="41">
        <v>6.0</v>
      </c>
      <c r="D875" s="33">
        <v>5.014271796161E12</v>
      </c>
      <c r="E875" s="42">
        <v>26.5</v>
      </c>
      <c r="F875" s="35">
        <v>159.0</v>
      </c>
      <c r="G875" s="36">
        <v>6.0</v>
      </c>
      <c r="H875" s="43">
        <f t="shared" si="259"/>
        <v>27.5</v>
      </c>
      <c r="I875" s="43">
        <f t="shared" si="260"/>
        <v>165</v>
      </c>
      <c r="J875" s="37"/>
      <c r="K875" s="45">
        <f t="shared" si="261"/>
        <v>0</v>
      </c>
    </row>
    <row r="876" ht="15.0" customHeight="1">
      <c r="A876" s="39" t="s">
        <v>1071</v>
      </c>
      <c r="B876" s="40" t="s">
        <v>800</v>
      </c>
      <c r="C876" s="41">
        <v>6.0</v>
      </c>
      <c r="D876" s="33">
        <v>3.147690061007E12</v>
      </c>
      <c r="E876" s="42">
        <v>9.5</v>
      </c>
      <c r="F876" s="35">
        <v>57.0</v>
      </c>
      <c r="G876" s="36">
        <v>6.0</v>
      </c>
      <c r="H876" s="43">
        <f t="shared" si="259"/>
        <v>10.5</v>
      </c>
      <c r="I876" s="43">
        <f t="shared" si="260"/>
        <v>63</v>
      </c>
      <c r="J876" s="37"/>
      <c r="K876" s="45">
        <f t="shared" si="261"/>
        <v>0</v>
      </c>
    </row>
    <row r="877" ht="15.0" customHeight="1">
      <c r="A877" s="48" t="s">
        <v>1072</v>
      </c>
      <c r="B877" s="40" t="s">
        <v>800</v>
      </c>
      <c r="C877" s="41">
        <v>6.0</v>
      </c>
      <c r="D877" s="33">
        <v>3.147699125649E12</v>
      </c>
      <c r="E877" s="42">
        <v>9.45</v>
      </c>
      <c r="F877" s="35">
        <f>E877*C877</f>
        <v>56.7</v>
      </c>
      <c r="G877" s="36">
        <v>6.0</v>
      </c>
      <c r="H877" s="43">
        <f t="shared" si="259"/>
        <v>10.45</v>
      </c>
      <c r="I877" s="43">
        <f t="shared" si="260"/>
        <v>62.7</v>
      </c>
      <c r="J877" s="37"/>
      <c r="K877" s="45">
        <f t="shared" si="261"/>
        <v>0</v>
      </c>
    </row>
    <row r="878" ht="15.0" customHeight="1">
      <c r="A878" s="39" t="s">
        <v>1073</v>
      </c>
      <c r="B878" s="40" t="s">
        <v>800</v>
      </c>
      <c r="C878" s="41">
        <v>6.0</v>
      </c>
      <c r="D878" s="33">
        <v>7.312040017683E12</v>
      </c>
      <c r="E878" s="42">
        <v>13.95</v>
      </c>
      <c r="F878" s="35">
        <v>83.7</v>
      </c>
      <c r="G878" s="36">
        <v>6.0</v>
      </c>
      <c r="H878" s="43">
        <f t="shared" si="259"/>
        <v>14.95</v>
      </c>
      <c r="I878" s="43">
        <f t="shared" si="260"/>
        <v>89.7</v>
      </c>
      <c r="J878" s="37"/>
      <c r="K878" s="45">
        <f t="shared" si="261"/>
        <v>0</v>
      </c>
    </row>
    <row r="879" ht="15.0" customHeight="1">
      <c r="A879" s="39" t="s">
        <v>1074</v>
      </c>
      <c r="B879" s="40" t="s">
        <v>800</v>
      </c>
      <c r="C879" s="41">
        <v>6.0</v>
      </c>
      <c r="D879" s="33">
        <v>4.067700013859E12</v>
      </c>
      <c r="E879" s="42">
        <v>14.55</v>
      </c>
      <c r="F879" s="35">
        <v>87.3</v>
      </c>
      <c r="G879" s="36">
        <v>6.0</v>
      </c>
      <c r="H879" s="43">
        <f t="shared" si="259"/>
        <v>15.55</v>
      </c>
      <c r="I879" s="43">
        <f t="shared" si="260"/>
        <v>93.3</v>
      </c>
      <c r="J879" s="37"/>
      <c r="K879" s="45">
        <f t="shared" si="261"/>
        <v>0</v>
      </c>
    </row>
    <row r="880" ht="15.0" customHeight="1">
      <c r="A880" s="39" t="s">
        <v>1075</v>
      </c>
      <c r="B880" s="40" t="s">
        <v>800</v>
      </c>
      <c r="C880" s="41">
        <v>6.0</v>
      </c>
      <c r="D880" s="33">
        <v>5.000281031033E12</v>
      </c>
      <c r="E880" s="42">
        <v>11.95</v>
      </c>
      <c r="F880" s="35">
        <v>71.7</v>
      </c>
      <c r="G880" s="36">
        <v>6.0</v>
      </c>
      <c r="H880" s="43">
        <f t="shared" si="259"/>
        <v>12.95</v>
      </c>
      <c r="I880" s="43">
        <f t="shared" si="260"/>
        <v>77.7</v>
      </c>
      <c r="J880" s="37"/>
      <c r="K880" s="45">
        <f t="shared" si="261"/>
        <v>0</v>
      </c>
    </row>
    <row r="881" ht="15.0" customHeight="1">
      <c r="A881" s="39" t="s">
        <v>1076</v>
      </c>
      <c r="B881" s="40" t="s">
        <v>800</v>
      </c>
      <c r="C881" s="41">
        <v>6.0</v>
      </c>
      <c r="D881" s="33">
        <v>3.099873045864E12</v>
      </c>
      <c r="E881" s="42">
        <v>17.25</v>
      </c>
      <c r="F881" s="35">
        <v>103.5</v>
      </c>
      <c r="G881" s="36">
        <v>6.0</v>
      </c>
      <c r="H881" s="43">
        <f t="shared" si="259"/>
        <v>18.25</v>
      </c>
      <c r="I881" s="43">
        <f t="shared" si="260"/>
        <v>109.5</v>
      </c>
      <c r="J881" s="37"/>
      <c r="K881" s="45">
        <f t="shared" si="261"/>
        <v>0</v>
      </c>
    </row>
    <row r="882" ht="15.0" customHeight="1">
      <c r="A882" s="39" t="s">
        <v>1077</v>
      </c>
      <c r="B882" s="40" t="s">
        <v>800</v>
      </c>
      <c r="C882" s="41">
        <v>6.0</v>
      </c>
      <c r="D882" s="33">
        <v>5.099873017623E12</v>
      </c>
      <c r="E882" s="42">
        <v>18.0</v>
      </c>
      <c r="F882" s="35">
        <v>108.0</v>
      </c>
      <c r="G882" s="36">
        <v>6.0</v>
      </c>
      <c r="H882" s="43">
        <f t="shared" si="259"/>
        <v>19</v>
      </c>
      <c r="I882" s="43">
        <f t="shared" si="260"/>
        <v>114</v>
      </c>
      <c r="J882" s="37"/>
      <c r="K882" s="45">
        <f t="shared" si="261"/>
        <v>0</v>
      </c>
    </row>
    <row r="883" ht="15.0" customHeight="1">
      <c r="A883" s="39" t="s">
        <v>1078</v>
      </c>
      <c r="B883" s="40" t="s">
        <v>800</v>
      </c>
      <c r="C883" s="41">
        <v>6.0</v>
      </c>
      <c r="D883" s="33">
        <v>5.09987300137E12</v>
      </c>
      <c r="E883" s="42">
        <v>18.0</v>
      </c>
      <c r="F883" s="35">
        <v>108.0</v>
      </c>
      <c r="G883" s="36">
        <v>6.0</v>
      </c>
      <c r="H883" s="43">
        <f t="shared" si="259"/>
        <v>19</v>
      </c>
      <c r="I883" s="43">
        <f t="shared" si="260"/>
        <v>114</v>
      </c>
      <c r="J883" s="44"/>
      <c r="K883" s="45">
        <f t="shared" si="261"/>
        <v>0</v>
      </c>
    </row>
    <row r="884" ht="15.0" customHeight="1">
      <c r="A884" s="48" t="s">
        <v>1079</v>
      </c>
      <c r="B884" s="40" t="s">
        <v>800</v>
      </c>
      <c r="C884" s="41">
        <v>6.0</v>
      </c>
      <c r="D884" s="102" t="s">
        <v>1080</v>
      </c>
      <c r="E884" s="42">
        <v>18.75</v>
      </c>
      <c r="F884" s="35">
        <v>112.5</v>
      </c>
      <c r="G884" s="36">
        <v>6.0</v>
      </c>
      <c r="H884" s="43">
        <f t="shared" si="259"/>
        <v>19.75</v>
      </c>
      <c r="I884" s="43">
        <f t="shared" si="260"/>
        <v>118.5</v>
      </c>
      <c r="J884" s="37"/>
      <c r="K884" s="45">
        <f t="shared" si="261"/>
        <v>0</v>
      </c>
    </row>
    <row r="885" ht="15.0" customHeight="1">
      <c r="A885" s="39" t="s">
        <v>1081</v>
      </c>
      <c r="B885" s="40" t="s">
        <v>800</v>
      </c>
      <c r="C885" s="41">
        <v>6.0</v>
      </c>
      <c r="D885" s="33">
        <v>5.901041003003E12</v>
      </c>
      <c r="E885" s="42">
        <v>28.5</v>
      </c>
      <c r="F885" s="35">
        <v>171.0</v>
      </c>
      <c r="G885" s="36">
        <v>18.0</v>
      </c>
      <c r="H885" s="43">
        <f t="shared" si="259"/>
        <v>31.5</v>
      </c>
      <c r="I885" s="43">
        <f t="shared" si="260"/>
        <v>189</v>
      </c>
      <c r="J885" s="37"/>
      <c r="K885" s="45">
        <f t="shared" si="261"/>
        <v>0</v>
      </c>
    </row>
    <row r="886" ht="15.0" customHeight="1">
      <c r="A886" s="39" t="s">
        <v>1082</v>
      </c>
      <c r="B886" s="40" t="s">
        <v>800</v>
      </c>
      <c r="C886" s="41">
        <v>6.0</v>
      </c>
      <c r="D886" s="33">
        <v>4.80901515748E12</v>
      </c>
      <c r="E886" s="42">
        <v>27.5</v>
      </c>
      <c r="F886" s="35">
        <v>165.0</v>
      </c>
      <c r="G886" s="36">
        <v>6.0</v>
      </c>
      <c r="H886" s="43">
        <f t="shared" si="259"/>
        <v>28.5</v>
      </c>
      <c r="I886" s="43">
        <f t="shared" si="260"/>
        <v>171</v>
      </c>
      <c r="J886" s="37"/>
      <c r="K886" s="45">
        <f t="shared" si="261"/>
        <v>0</v>
      </c>
    </row>
    <row r="887" ht="15.0" customHeight="1">
      <c r="A887" s="39" t="s">
        <v>1083</v>
      </c>
      <c r="B887" s="40" t="s">
        <v>800</v>
      </c>
      <c r="C887" s="41">
        <v>6.0</v>
      </c>
      <c r="D887" s="33">
        <v>7.594003620059E12</v>
      </c>
      <c r="E887" s="42">
        <v>29.9</v>
      </c>
      <c r="F887" s="35">
        <v>179.4</v>
      </c>
      <c r="G887" s="36">
        <v>6.0</v>
      </c>
      <c r="H887" s="43">
        <f t="shared" si="259"/>
        <v>30.9</v>
      </c>
      <c r="I887" s="43">
        <f t="shared" si="260"/>
        <v>185.4</v>
      </c>
      <c r="J887" s="37"/>
      <c r="K887" s="45">
        <f t="shared" si="261"/>
        <v>0</v>
      </c>
    </row>
    <row r="888" ht="15.0" customHeight="1">
      <c r="A888" s="39" t="s">
        <v>1084</v>
      </c>
      <c r="B888" s="40" t="s">
        <v>800</v>
      </c>
      <c r="C888" s="41">
        <v>1.0</v>
      </c>
      <c r="D888" s="33">
        <v>5.010103916738E12</v>
      </c>
      <c r="E888" s="42">
        <v>26.5</v>
      </c>
      <c r="F888" s="35">
        <v>26.5</v>
      </c>
      <c r="G888" s="36">
        <v>3.0</v>
      </c>
      <c r="H888" s="43">
        <f t="shared" si="259"/>
        <v>29.5</v>
      </c>
      <c r="I888" s="43">
        <f t="shared" si="260"/>
        <v>29.5</v>
      </c>
      <c r="J888" s="37"/>
      <c r="K888" s="45">
        <f t="shared" si="261"/>
        <v>0</v>
      </c>
    </row>
    <row r="889" ht="15.0" customHeight="1">
      <c r="A889" s="39" t="s">
        <v>1085</v>
      </c>
      <c r="B889" s="40" t="s">
        <v>800</v>
      </c>
      <c r="C889" s="41">
        <v>1.0</v>
      </c>
      <c r="D889" s="33">
        <v>5.010103937146E12</v>
      </c>
      <c r="E889" s="42">
        <v>26.5</v>
      </c>
      <c r="F889" s="35">
        <v>26.5</v>
      </c>
      <c r="G889" s="36">
        <v>3.0</v>
      </c>
      <c r="H889" s="43">
        <f t="shared" si="259"/>
        <v>29.5</v>
      </c>
      <c r="I889" s="43">
        <f t="shared" si="260"/>
        <v>29.5</v>
      </c>
      <c r="J889" s="37"/>
      <c r="K889" s="45">
        <f t="shared" si="261"/>
        <v>0</v>
      </c>
    </row>
    <row r="890" ht="15.0" customHeight="1">
      <c r="A890" s="39" t="s">
        <v>1086</v>
      </c>
      <c r="B890" s="40" t="s">
        <v>800</v>
      </c>
      <c r="C890" s="41">
        <v>1.0</v>
      </c>
      <c r="D890" s="33">
        <v>5.010103995641E12</v>
      </c>
      <c r="E890" s="42">
        <v>26.5</v>
      </c>
      <c r="F890" s="35">
        <v>26.5</v>
      </c>
      <c r="G890" s="36">
        <v>3.0</v>
      </c>
      <c r="H890" s="43">
        <f t="shared" si="259"/>
        <v>29.5</v>
      </c>
      <c r="I890" s="43">
        <f t="shared" si="260"/>
        <v>29.5</v>
      </c>
      <c r="J890" s="37"/>
      <c r="K890" s="45">
        <f t="shared" si="261"/>
        <v>0</v>
      </c>
    </row>
    <row r="891" ht="15.0" customHeight="1">
      <c r="A891" s="39" t="s">
        <v>1087</v>
      </c>
      <c r="B891" s="40" t="s">
        <v>800</v>
      </c>
      <c r="C891" s="41">
        <v>1.0</v>
      </c>
      <c r="D891" s="33">
        <v>5.010103947718E12</v>
      </c>
      <c r="E891" s="42">
        <v>26.5</v>
      </c>
      <c r="F891" s="35">
        <v>26.5</v>
      </c>
      <c r="G891" s="36">
        <v>3.0</v>
      </c>
      <c r="H891" s="43">
        <f t="shared" si="259"/>
        <v>29.5</v>
      </c>
      <c r="I891" s="43">
        <f t="shared" si="260"/>
        <v>29.5</v>
      </c>
      <c r="J891" s="37"/>
      <c r="K891" s="45">
        <f t="shared" si="261"/>
        <v>0</v>
      </c>
    </row>
    <row r="892" ht="15.0" customHeight="1">
      <c r="A892" s="39" t="s">
        <v>1088</v>
      </c>
      <c r="B892" s="40" t="s">
        <v>800</v>
      </c>
      <c r="C892" s="41">
        <v>1.0</v>
      </c>
      <c r="D892" s="33">
        <v>5.010103939874E12</v>
      </c>
      <c r="E892" s="42">
        <v>26.5</v>
      </c>
      <c r="F892" s="35">
        <v>26.5</v>
      </c>
      <c r="G892" s="36">
        <v>3.0</v>
      </c>
      <c r="H892" s="43">
        <f t="shared" si="259"/>
        <v>29.5</v>
      </c>
      <c r="I892" s="43">
        <f t="shared" si="260"/>
        <v>29.5</v>
      </c>
      <c r="J892" s="37"/>
      <c r="K892" s="45">
        <f t="shared" si="261"/>
        <v>0</v>
      </c>
    </row>
    <row r="893" ht="15.0" customHeight="1">
      <c r="A893" s="39" t="s">
        <v>1089</v>
      </c>
      <c r="B893" s="40" t="s">
        <v>800</v>
      </c>
      <c r="C893" s="41">
        <v>1.0</v>
      </c>
      <c r="D893" s="33">
        <v>5.010103943574E12</v>
      </c>
      <c r="E893" s="42">
        <v>26.5</v>
      </c>
      <c r="F893" s="35">
        <v>26.5</v>
      </c>
      <c r="G893" s="36">
        <v>3.0</v>
      </c>
      <c r="H893" s="43">
        <f t="shared" si="259"/>
        <v>29.5</v>
      </c>
      <c r="I893" s="43">
        <f t="shared" si="260"/>
        <v>29.5</v>
      </c>
      <c r="J893" s="37"/>
      <c r="K893" s="45">
        <f t="shared" si="261"/>
        <v>0</v>
      </c>
    </row>
    <row r="894" ht="15.0" customHeight="1">
      <c r="A894" s="39" t="s">
        <v>1090</v>
      </c>
      <c r="B894" s="40" t="s">
        <v>800</v>
      </c>
      <c r="C894" s="41">
        <v>1.0</v>
      </c>
      <c r="D894" s="33">
        <v>5.010103934374E12</v>
      </c>
      <c r="E894" s="42">
        <v>26.5</v>
      </c>
      <c r="F894" s="35">
        <v>26.5</v>
      </c>
      <c r="G894" s="36">
        <v>3.0</v>
      </c>
      <c r="H894" s="43">
        <f t="shared" si="259"/>
        <v>29.5</v>
      </c>
      <c r="I894" s="43">
        <f t="shared" si="260"/>
        <v>29.5</v>
      </c>
      <c r="J894" s="37"/>
      <c r="K894" s="45">
        <f t="shared" si="261"/>
        <v>0</v>
      </c>
    </row>
    <row r="895" ht="15.0" customHeight="1">
      <c r="A895" s="39" t="s">
        <v>1091</v>
      </c>
      <c r="B895" s="40" t="s">
        <v>800</v>
      </c>
      <c r="C895" s="41">
        <v>1.0</v>
      </c>
      <c r="D895" s="33">
        <v>5.010103938235E12</v>
      </c>
      <c r="E895" s="42">
        <v>26.5</v>
      </c>
      <c r="F895" s="35">
        <v>26.5</v>
      </c>
      <c r="G895" s="36">
        <v>3.0</v>
      </c>
      <c r="H895" s="43">
        <f t="shared" si="259"/>
        <v>29.5</v>
      </c>
      <c r="I895" s="43">
        <f t="shared" si="260"/>
        <v>29.5</v>
      </c>
      <c r="J895" s="37"/>
      <c r="K895" s="45">
        <f t="shared" si="261"/>
        <v>0</v>
      </c>
    </row>
    <row r="896" ht="15.0" customHeight="1">
      <c r="A896" s="39" t="s">
        <v>1092</v>
      </c>
      <c r="B896" s="40" t="s">
        <v>800</v>
      </c>
      <c r="C896" s="41">
        <v>1.0</v>
      </c>
      <c r="D896" s="33">
        <v>5.010103999991E12</v>
      </c>
      <c r="E896" s="42">
        <v>26.5</v>
      </c>
      <c r="F896" s="35">
        <v>26.5</v>
      </c>
      <c r="G896" s="36">
        <v>3.0</v>
      </c>
      <c r="H896" s="43">
        <f t="shared" si="259"/>
        <v>29.5</v>
      </c>
      <c r="I896" s="43">
        <f t="shared" si="260"/>
        <v>29.5</v>
      </c>
      <c r="J896" s="37"/>
      <c r="K896" s="45">
        <f t="shared" si="261"/>
        <v>0</v>
      </c>
    </row>
    <row r="897" ht="15.0" customHeight="1">
      <c r="A897" s="39" t="s">
        <v>1093</v>
      </c>
      <c r="B897" s="40" t="s">
        <v>800</v>
      </c>
      <c r="C897" s="62">
        <v>1.0</v>
      </c>
      <c r="D897" s="33">
        <v>5.010103948258E12</v>
      </c>
      <c r="E897" s="42">
        <v>31.5</v>
      </c>
      <c r="F897" s="35">
        <v>31.5</v>
      </c>
      <c r="G897" s="36">
        <v>3.0</v>
      </c>
      <c r="H897" s="43">
        <f t="shared" si="259"/>
        <v>34.5</v>
      </c>
      <c r="I897" s="43">
        <f t="shared" si="260"/>
        <v>34.5</v>
      </c>
      <c r="J897" s="37"/>
      <c r="K897" s="45">
        <f t="shared" si="261"/>
        <v>0</v>
      </c>
    </row>
    <row r="898" ht="15.0" customHeight="1">
      <c r="A898" s="143" t="s">
        <v>1094</v>
      </c>
      <c r="B898" s="144"/>
      <c r="C898" s="145"/>
      <c r="D898" s="146"/>
      <c r="E898" s="147"/>
      <c r="F898" s="147"/>
      <c r="G898" s="148"/>
      <c r="H898" s="149"/>
      <c r="I898" s="149"/>
      <c r="J898" s="150"/>
      <c r="K898" s="149"/>
    </row>
    <row r="899" ht="15.0" customHeight="1">
      <c r="A899" s="30" t="s">
        <v>1095</v>
      </c>
      <c r="B899" s="31"/>
      <c r="C899" s="32"/>
      <c r="D899" s="33"/>
      <c r="E899" s="34"/>
      <c r="F899" s="35"/>
      <c r="G899" s="36"/>
      <c r="H899" s="43"/>
      <c r="I899" s="43"/>
      <c r="J899" s="37"/>
      <c r="K899" s="45"/>
    </row>
    <row r="900" ht="15.0" customHeight="1">
      <c r="A900" s="39" t="s">
        <v>1096</v>
      </c>
      <c r="B900" s="40" t="s">
        <v>1097</v>
      </c>
      <c r="C900" s="41">
        <v>12.0</v>
      </c>
      <c r="D900" s="33">
        <v>5.410803520165E12</v>
      </c>
      <c r="E900" s="42">
        <v>2.2</v>
      </c>
      <c r="F900" s="35">
        <v>26.4</v>
      </c>
      <c r="G900" s="36">
        <v>1.0</v>
      </c>
      <c r="H900" s="43">
        <f t="shared" ref="H900:H919" si="263">I900/C900</f>
        <v>2.283333333</v>
      </c>
      <c r="I900" s="43">
        <f t="shared" ref="I900:I919" si="264">F900+G900</f>
        <v>27.4</v>
      </c>
      <c r="J900" s="37"/>
      <c r="K900" s="45">
        <f t="shared" ref="K900:K919" si="265">I900*J900</f>
        <v>0</v>
      </c>
    </row>
    <row r="901" ht="15.0" customHeight="1">
      <c r="A901" s="39" t="s">
        <v>1098</v>
      </c>
      <c r="B901" s="40" t="s">
        <v>1097</v>
      </c>
      <c r="C901" s="41">
        <v>12.0</v>
      </c>
      <c r="D901" s="33">
        <v>5.410803520059E12</v>
      </c>
      <c r="E901" s="42">
        <v>2.2</v>
      </c>
      <c r="F901" s="35">
        <v>26.4</v>
      </c>
      <c r="G901" s="36">
        <v>1.0</v>
      </c>
      <c r="H901" s="43">
        <f t="shared" si="263"/>
        <v>2.283333333</v>
      </c>
      <c r="I901" s="43">
        <f t="shared" si="264"/>
        <v>27.4</v>
      </c>
      <c r="J901" s="37"/>
      <c r="K901" s="45">
        <f t="shared" si="265"/>
        <v>0</v>
      </c>
    </row>
    <row r="902" ht="15.0" customHeight="1">
      <c r="A902" s="39" t="s">
        <v>1099</v>
      </c>
      <c r="B902" s="40" t="s">
        <v>1097</v>
      </c>
      <c r="C902" s="41">
        <v>12.0</v>
      </c>
      <c r="D902" s="33">
        <v>5.410803520097E12</v>
      </c>
      <c r="E902" s="42">
        <v>2.4</v>
      </c>
      <c r="F902" s="35">
        <v>28.8</v>
      </c>
      <c r="G902" s="36">
        <v>1.0</v>
      </c>
      <c r="H902" s="43">
        <f t="shared" si="263"/>
        <v>2.483333333</v>
      </c>
      <c r="I902" s="43">
        <f t="shared" si="264"/>
        <v>29.8</v>
      </c>
      <c r="J902" s="37"/>
      <c r="K902" s="45">
        <f t="shared" si="265"/>
        <v>0</v>
      </c>
    </row>
    <row r="903" ht="15.0" customHeight="1">
      <c r="A903" s="39" t="s">
        <v>1100</v>
      </c>
      <c r="B903" s="40" t="s">
        <v>1097</v>
      </c>
      <c r="C903" s="41">
        <v>12.0</v>
      </c>
      <c r="D903" s="33">
        <v>5.41080352008E12</v>
      </c>
      <c r="E903" s="42">
        <v>2.4</v>
      </c>
      <c r="F903" s="35">
        <v>28.8</v>
      </c>
      <c r="G903" s="36">
        <v>1.0</v>
      </c>
      <c r="H903" s="43">
        <f t="shared" si="263"/>
        <v>2.483333333</v>
      </c>
      <c r="I903" s="43">
        <f t="shared" si="264"/>
        <v>29.8</v>
      </c>
      <c r="J903" s="37"/>
      <c r="K903" s="45">
        <f t="shared" si="265"/>
        <v>0</v>
      </c>
    </row>
    <row r="904" ht="15.0" customHeight="1">
      <c r="A904" s="39" t="s">
        <v>1101</v>
      </c>
      <c r="B904" s="40" t="s">
        <v>1097</v>
      </c>
      <c r="C904" s="41">
        <v>12.0</v>
      </c>
      <c r="D904" s="33">
        <v>5.410803520011E12</v>
      </c>
      <c r="E904" s="42">
        <v>2.4</v>
      </c>
      <c r="F904" s="35">
        <v>28.8</v>
      </c>
      <c r="G904" s="36">
        <v>1.0</v>
      </c>
      <c r="H904" s="43">
        <f t="shared" si="263"/>
        <v>2.483333333</v>
      </c>
      <c r="I904" s="43">
        <f t="shared" si="264"/>
        <v>29.8</v>
      </c>
      <c r="J904" s="37"/>
      <c r="K904" s="45">
        <f t="shared" si="265"/>
        <v>0</v>
      </c>
    </row>
    <row r="905" ht="15.0" customHeight="1">
      <c r="A905" s="39" t="s">
        <v>1102</v>
      </c>
      <c r="B905" s="40" t="s">
        <v>1097</v>
      </c>
      <c r="C905" s="41">
        <v>12.0</v>
      </c>
      <c r="D905" s="33">
        <v>5.410803520141E12</v>
      </c>
      <c r="E905" s="42">
        <v>2.4</v>
      </c>
      <c r="F905" s="35">
        <v>28.8</v>
      </c>
      <c r="G905" s="36">
        <v>1.0</v>
      </c>
      <c r="H905" s="43">
        <f t="shared" si="263"/>
        <v>2.483333333</v>
      </c>
      <c r="I905" s="43">
        <f t="shared" si="264"/>
        <v>29.8</v>
      </c>
      <c r="J905" s="37"/>
      <c r="K905" s="45">
        <f t="shared" si="265"/>
        <v>0</v>
      </c>
    </row>
    <row r="906" ht="15.0" customHeight="1">
      <c r="A906" s="39" t="s">
        <v>1103</v>
      </c>
      <c r="B906" s="40" t="s">
        <v>1097</v>
      </c>
      <c r="C906" s="41">
        <v>12.0</v>
      </c>
      <c r="D906" s="33">
        <v>5.410803520073E12</v>
      </c>
      <c r="E906" s="42">
        <v>2.4</v>
      </c>
      <c r="F906" s="35">
        <v>28.8</v>
      </c>
      <c r="G906" s="36">
        <v>1.0</v>
      </c>
      <c r="H906" s="43">
        <f t="shared" si="263"/>
        <v>2.483333333</v>
      </c>
      <c r="I906" s="43">
        <f t="shared" si="264"/>
        <v>29.8</v>
      </c>
      <c r="J906" s="37"/>
      <c r="K906" s="45">
        <f t="shared" si="265"/>
        <v>0</v>
      </c>
    </row>
    <row r="907" ht="15.0" customHeight="1">
      <c r="A907" s="39" t="s">
        <v>1104</v>
      </c>
      <c r="B907" s="40" t="s">
        <v>1097</v>
      </c>
      <c r="C907" s="41">
        <v>12.0</v>
      </c>
      <c r="D907" s="33">
        <v>5.410803520271E12</v>
      </c>
      <c r="E907" s="42">
        <v>2.4</v>
      </c>
      <c r="F907" s="35">
        <v>28.8</v>
      </c>
      <c r="G907" s="36">
        <v>1.0</v>
      </c>
      <c r="H907" s="43">
        <f t="shared" si="263"/>
        <v>2.483333333</v>
      </c>
      <c r="I907" s="43">
        <f t="shared" si="264"/>
        <v>29.8</v>
      </c>
      <c r="J907" s="37"/>
      <c r="K907" s="45">
        <f t="shared" si="265"/>
        <v>0</v>
      </c>
    </row>
    <row r="908" ht="15.0" customHeight="1">
      <c r="A908" s="39" t="s">
        <v>1105</v>
      </c>
      <c r="B908" s="40" t="s">
        <v>1097</v>
      </c>
      <c r="C908" s="41">
        <v>12.0</v>
      </c>
      <c r="D908" s="33">
        <v>5.410803520189E12</v>
      </c>
      <c r="E908" s="42">
        <v>2.4</v>
      </c>
      <c r="F908" s="35">
        <v>28.8</v>
      </c>
      <c r="G908" s="36">
        <v>1.0</v>
      </c>
      <c r="H908" s="43">
        <f t="shared" si="263"/>
        <v>2.483333333</v>
      </c>
      <c r="I908" s="43">
        <f t="shared" si="264"/>
        <v>29.8</v>
      </c>
      <c r="J908" s="37"/>
      <c r="K908" s="45">
        <f t="shared" si="265"/>
        <v>0</v>
      </c>
    </row>
    <row r="909" ht="15.0" customHeight="1">
      <c r="A909" s="39" t="s">
        <v>1106</v>
      </c>
      <c r="B909" s="40" t="s">
        <v>1097</v>
      </c>
      <c r="C909" s="41">
        <v>12.0</v>
      </c>
      <c r="D909" s="33">
        <v>5.410803520158E12</v>
      </c>
      <c r="E909" s="42">
        <v>2.4</v>
      </c>
      <c r="F909" s="35">
        <v>28.8</v>
      </c>
      <c r="G909" s="36">
        <v>1.0</v>
      </c>
      <c r="H909" s="43">
        <f t="shared" si="263"/>
        <v>2.483333333</v>
      </c>
      <c r="I909" s="43">
        <f t="shared" si="264"/>
        <v>29.8</v>
      </c>
      <c r="J909" s="37"/>
      <c r="K909" s="45">
        <f t="shared" si="265"/>
        <v>0</v>
      </c>
    </row>
    <row r="910" ht="15.0" customHeight="1">
      <c r="A910" s="39" t="s">
        <v>1107</v>
      </c>
      <c r="B910" s="40" t="s">
        <v>1097</v>
      </c>
      <c r="C910" s="41">
        <v>12.0</v>
      </c>
      <c r="D910" s="33">
        <v>5.410803520066E12</v>
      </c>
      <c r="E910" s="42">
        <v>2.4</v>
      </c>
      <c r="F910" s="35">
        <v>28.8</v>
      </c>
      <c r="G910" s="36">
        <v>1.0</v>
      </c>
      <c r="H910" s="43">
        <f t="shared" si="263"/>
        <v>2.483333333</v>
      </c>
      <c r="I910" s="43">
        <f t="shared" si="264"/>
        <v>29.8</v>
      </c>
      <c r="J910" s="37"/>
      <c r="K910" s="45">
        <f t="shared" si="265"/>
        <v>0</v>
      </c>
    </row>
    <row r="911" ht="15.0" customHeight="1">
      <c r="A911" s="39" t="s">
        <v>1108</v>
      </c>
      <c r="B911" s="40" t="s">
        <v>1097</v>
      </c>
      <c r="C911" s="41">
        <v>12.0</v>
      </c>
      <c r="D911" s="33">
        <v>5.41080352011E12</v>
      </c>
      <c r="E911" s="42">
        <v>2.4</v>
      </c>
      <c r="F911" s="35">
        <v>28.8</v>
      </c>
      <c r="G911" s="36">
        <v>1.0</v>
      </c>
      <c r="H911" s="43">
        <f t="shared" si="263"/>
        <v>2.483333333</v>
      </c>
      <c r="I911" s="43">
        <f t="shared" si="264"/>
        <v>29.8</v>
      </c>
      <c r="J911" s="37"/>
      <c r="K911" s="45">
        <f t="shared" si="265"/>
        <v>0</v>
      </c>
    </row>
    <row r="912" ht="15.0" customHeight="1">
      <c r="A912" s="39" t="s">
        <v>1109</v>
      </c>
      <c r="B912" s="40" t="s">
        <v>1097</v>
      </c>
      <c r="C912" s="41">
        <v>12.0</v>
      </c>
      <c r="D912" s="33">
        <v>5.410803520042E12</v>
      </c>
      <c r="E912" s="42">
        <v>2.4</v>
      </c>
      <c r="F912" s="35">
        <v>28.8</v>
      </c>
      <c r="G912" s="36">
        <v>1.0</v>
      </c>
      <c r="H912" s="43">
        <f t="shared" si="263"/>
        <v>2.483333333</v>
      </c>
      <c r="I912" s="43">
        <f t="shared" si="264"/>
        <v>29.8</v>
      </c>
      <c r="J912" s="37"/>
      <c r="K912" s="45">
        <f t="shared" si="265"/>
        <v>0</v>
      </c>
    </row>
    <row r="913" ht="15.0" customHeight="1">
      <c r="A913" s="39" t="s">
        <v>1110</v>
      </c>
      <c r="B913" s="40" t="s">
        <v>1097</v>
      </c>
      <c r="C913" s="41">
        <v>12.0</v>
      </c>
      <c r="D913" s="33">
        <v>5.410803520035E12</v>
      </c>
      <c r="E913" s="42">
        <v>2.4</v>
      </c>
      <c r="F913" s="35">
        <v>28.8</v>
      </c>
      <c r="G913" s="36">
        <v>1.0</v>
      </c>
      <c r="H913" s="43">
        <f t="shared" si="263"/>
        <v>2.483333333</v>
      </c>
      <c r="I913" s="43">
        <f t="shared" si="264"/>
        <v>29.8</v>
      </c>
      <c r="J913" s="37"/>
      <c r="K913" s="45">
        <f t="shared" si="265"/>
        <v>0</v>
      </c>
    </row>
    <row r="914" ht="15.0" customHeight="1">
      <c r="A914" s="39" t="s">
        <v>1111</v>
      </c>
      <c r="B914" s="40" t="s">
        <v>1097</v>
      </c>
      <c r="C914" s="41">
        <v>12.0</v>
      </c>
      <c r="D914" s="33">
        <v>5.410803520172E12</v>
      </c>
      <c r="E914" s="42">
        <v>2.4</v>
      </c>
      <c r="F914" s="35">
        <v>28.8</v>
      </c>
      <c r="G914" s="36">
        <v>1.0</v>
      </c>
      <c r="H914" s="43">
        <f t="shared" si="263"/>
        <v>2.483333333</v>
      </c>
      <c r="I914" s="43">
        <f t="shared" si="264"/>
        <v>29.8</v>
      </c>
      <c r="J914" s="37"/>
      <c r="K914" s="45">
        <f t="shared" si="265"/>
        <v>0</v>
      </c>
    </row>
    <row r="915" ht="15.0" customHeight="1">
      <c r="A915" s="39" t="s">
        <v>1112</v>
      </c>
      <c r="B915" s="40" t="s">
        <v>1097</v>
      </c>
      <c r="C915" s="41">
        <v>12.0</v>
      </c>
      <c r="D915" s="33">
        <v>5.410803520004E12</v>
      </c>
      <c r="E915" s="42">
        <v>2.4</v>
      </c>
      <c r="F915" s="35">
        <v>28.8</v>
      </c>
      <c r="G915" s="36">
        <v>1.0</v>
      </c>
      <c r="H915" s="43">
        <f t="shared" si="263"/>
        <v>2.483333333</v>
      </c>
      <c r="I915" s="43">
        <f t="shared" si="264"/>
        <v>29.8</v>
      </c>
      <c r="J915" s="37"/>
      <c r="K915" s="45">
        <f t="shared" si="265"/>
        <v>0</v>
      </c>
    </row>
    <row r="916" ht="15.0" customHeight="1">
      <c r="A916" s="39" t="s">
        <v>1113</v>
      </c>
      <c r="B916" s="40" t="s">
        <v>1097</v>
      </c>
      <c r="C916" s="41">
        <v>12.0</v>
      </c>
      <c r="D916" s="33">
        <v>5.410803003415E12</v>
      </c>
      <c r="E916" s="42">
        <v>2.4</v>
      </c>
      <c r="F916" s="35">
        <v>28.8</v>
      </c>
      <c r="G916" s="36">
        <v>1.0</v>
      </c>
      <c r="H916" s="43">
        <f t="shared" si="263"/>
        <v>2.483333333</v>
      </c>
      <c r="I916" s="43">
        <f t="shared" si="264"/>
        <v>29.8</v>
      </c>
      <c r="J916" s="37"/>
      <c r="K916" s="45">
        <f t="shared" si="265"/>
        <v>0</v>
      </c>
    </row>
    <row r="917" ht="15.0" customHeight="1">
      <c r="A917" s="39" t="s">
        <v>1114</v>
      </c>
      <c r="B917" s="40" t="s">
        <v>1097</v>
      </c>
      <c r="C917" s="41">
        <v>12.0</v>
      </c>
      <c r="D917" s="33">
        <v>5.41080300937E12</v>
      </c>
      <c r="E917" s="42">
        <v>2.4</v>
      </c>
      <c r="F917" s="35">
        <v>28.8</v>
      </c>
      <c r="G917" s="36">
        <v>1.0</v>
      </c>
      <c r="H917" s="43">
        <f t="shared" si="263"/>
        <v>2.483333333</v>
      </c>
      <c r="I917" s="43">
        <f t="shared" si="264"/>
        <v>29.8</v>
      </c>
      <c r="J917" s="37"/>
      <c r="K917" s="45">
        <f t="shared" si="265"/>
        <v>0</v>
      </c>
    </row>
    <row r="918" ht="15.0" customHeight="1">
      <c r="A918" s="39" t="s">
        <v>1115</v>
      </c>
      <c r="B918" s="40" t="s">
        <v>1097</v>
      </c>
      <c r="C918" s="41">
        <v>12.0</v>
      </c>
      <c r="D918" s="33">
        <v>5.410803520257E12</v>
      </c>
      <c r="E918" s="42">
        <v>2.65</v>
      </c>
      <c r="F918" s="35">
        <v>31.8</v>
      </c>
      <c r="G918" s="36">
        <v>1.0</v>
      </c>
      <c r="H918" s="43">
        <f t="shared" si="263"/>
        <v>2.733333333</v>
      </c>
      <c r="I918" s="43">
        <f t="shared" si="264"/>
        <v>32.8</v>
      </c>
      <c r="J918" s="37"/>
      <c r="K918" s="45">
        <f t="shared" si="265"/>
        <v>0</v>
      </c>
    </row>
    <row r="919" ht="15.0" customHeight="1">
      <c r="A919" s="39" t="s">
        <v>1116</v>
      </c>
      <c r="B919" s="40" t="s">
        <v>1097</v>
      </c>
      <c r="C919" s="41">
        <v>12.0</v>
      </c>
      <c r="D919" s="33">
        <v>5.410803520103E12</v>
      </c>
      <c r="E919" s="42">
        <v>2.65</v>
      </c>
      <c r="F919" s="35">
        <v>31.8</v>
      </c>
      <c r="G919" s="36">
        <v>1.0</v>
      </c>
      <c r="H919" s="43">
        <f t="shared" si="263"/>
        <v>2.733333333</v>
      </c>
      <c r="I919" s="43">
        <f t="shared" si="264"/>
        <v>32.8</v>
      </c>
      <c r="J919" s="37"/>
      <c r="K919" s="45">
        <f t="shared" si="265"/>
        <v>0</v>
      </c>
    </row>
    <row r="920" ht="15.0" customHeight="1">
      <c r="A920" s="30" t="s">
        <v>1117</v>
      </c>
      <c r="B920" s="31"/>
      <c r="C920" s="32"/>
      <c r="D920" s="33"/>
      <c r="E920" s="34"/>
      <c r="F920" s="35"/>
      <c r="G920" s="36"/>
      <c r="H920" s="43"/>
      <c r="I920" s="43"/>
      <c r="J920" s="37"/>
      <c r="K920" s="45"/>
    </row>
    <row r="921" ht="15.0" customHeight="1">
      <c r="A921" s="39" t="s">
        <v>1118</v>
      </c>
      <c r="B921" s="40" t="s">
        <v>1119</v>
      </c>
      <c r="C921" s="41">
        <v>12.0</v>
      </c>
      <c r="D921" s="33" t="s">
        <v>1120</v>
      </c>
      <c r="E921" s="42">
        <v>1.99</v>
      </c>
      <c r="F921" s="35">
        <v>23.88</v>
      </c>
      <c r="G921" s="36">
        <v>1.0</v>
      </c>
      <c r="H921" s="43">
        <f t="shared" ref="H921:H926" si="266">I921/C921</f>
        <v>2.073333333</v>
      </c>
      <c r="I921" s="43">
        <f t="shared" ref="I921:I926" si="267">F921+G921</f>
        <v>24.88</v>
      </c>
      <c r="J921" s="37"/>
      <c r="K921" s="45">
        <f t="shared" ref="K921:K926" si="268">I921*J921</f>
        <v>0</v>
      </c>
    </row>
    <row r="922" ht="15.0" customHeight="1">
      <c r="A922" s="39" t="s">
        <v>1121</v>
      </c>
      <c r="B922" s="40" t="s">
        <v>1119</v>
      </c>
      <c r="C922" s="41">
        <v>12.0</v>
      </c>
      <c r="D922" s="33">
        <v>5.410803390058E12</v>
      </c>
      <c r="E922" s="42">
        <v>1.99</v>
      </c>
      <c r="F922" s="35">
        <v>23.88</v>
      </c>
      <c r="G922" s="36">
        <v>1.0</v>
      </c>
      <c r="H922" s="43">
        <f t="shared" si="266"/>
        <v>2.073333333</v>
      </c>
      <c r="I922" s="43">
        <f t="shared" si="267"/>
        <v>24.88</v>
      </c>
      <c r="J922" s="37"/>
      <c r="K922" s="45">
        <f t="shared" si="268"/>
        <v>0</v>
      </c>
    </row>
    <row r="923" ht="15.0" customHeight="1">
      <c r="A923" s="39" t="s">
        <v>1122</v>
      </c>
      <c r="B923" s="40" t="s">
        <v>1119</v>
      </c>
      <c r="C923" s="41">
        <v>12.0</v>
      </c>
      <c r="D923" s="33">
        <v>5.410803390164E12</v>
      </c>
      <c r="E923" s="42">
        <v>1.99</v>
      </c>
      <c r="F923" s="35">
        <v>23.88</v>
      </c>
      <c r="G923" s="36">
        <v>1.0</v>
      </c>
      <c r="H923" s="43">
        <f t="shared" si="266"/>
        <v>2.073333333</v>
      </c>
      <c r="I923" s="43">
        <f t="shared" si="267"/>
        <v>24.88</v>
      </c>
      <c r="J923" s="37"/>
      <c r="K923" s="45">
        <f t="shared" si="268"/>
        <v>0</v>
      </c>
    </row>
    <row r="924" ht="15.0" customHeight="1">
      <c r="A924" s="39" t="s">
        <v>1123</v>
      </c>
      <c r="B924" s="40" t="s">
        <v>1119</v>
      </c>
      <c r="C924" s="41">
        <v>12.0</v>
      </c>
      <c r="D924" s="33">
        <v>5.410803390027E12</v>
      </c>
      <c r="E924" s="42">
        <v>1.99</v>
      </c>
      <c r="F924" s="35">
        <f t="shared" ref="F924:F925" si="269">E924*C924</f>
        <v>23.88</v>
      </c>
      <c r="G924" s="36">
        <v>1.0</v>
      </c>
      <c r="H924" s="43">
        <f t="shared" si="266"/>
        <v>2.073333333</v>
      </c>
      <c r="I924" s="43">
        <f t="shared" si="267"/>
        <v>24.88</v>
      </c>
      <c r="J924" s="37"/>
      <c r="K924" s="45">
        <f t="shared" si="268"/>
        <v>0</v>
      </c>
    </row>
    <row r="925" ht="15.0" customHeight="1">
      <c r="A925" s="39" t="s">
        <v>1124</v>
      </c>
      <c r="B925" s="40" t="s">
        <v>1119</v>
      </c>
      <c r="C925" s="41">
        <v>12.0</v>
      </c>
      <c r="D925" s="33">
        <v>5.410803390034E12</v>
      </c>
      <c r="E925" s="42">
        <v>1.99</v>
      </c>
      <c r="F925" s="35">
        <f t="shared" si="269"/>
        <v>23.88</v>
      </c>
      <c r="G925" s="36">
        <v>1.0</v>
      </c>
      <c r="H925" s="43">
        <f t="shared" si="266"/>
        <v>2.073333333</v>
      </c>
      <c r="I925" s="43">
        <f t="shared" si="267"/>
        <v>24.88</v>
      </c>
      <c r="J925" s="37"/>
      <c r="K925" s="45">
        <f t="shared" si="268"/>
        <v>0</v>
      </c>
    </row>
    <row r="926" ht="15.0" customHeight="1">
      <c r="A926" s="39" t="s">
        <v>1125</v>
      </c>
      <c r="B926" s="40" t="s">
        <v>1119</v>
      </c>
      <c r="C926" s="41">
        <v>12.0</v>
      </c>
      <c r="D926" s="33">
        <v>5.410803390133E12</v>
      </c>
      <c r="E926" s="42">
        <v>1.99</v>
      </c>
      <c r="F926" s="35">
        <v>23.88</v>
      </c>
      <c r="G926" s="36">
        <v>1.0</v>
      </c>
      <c r="H926" s="43">
        <f t="shared" si="266"/>
        <v>2.073333333</v>
      </c>
      <c r="I926" s="43">
        <f t="shared" si="267"/>
        <v>24.88</v>
      </c>
      <c r="J926" s="37"/>
      <c r="K926" s="45">
        <f t="shared" si="268"/>
        <v>0</v>
      </c>
    </row>
    <row r="927" ht="15.0" customHeight="1">
      <c r="A927" s="39" t="s">
        <v>1126</v>
      </c>
      <c r="B927" s="40" t="s">
        <v>1127</v>
      </c>
      <c r="C927" s="41">
        <v>1.0</v>
      </c>
      <c r="D927" s="33" t="s">
        <v>1127</v>
      </c>
      <c r="E927" s="34"/>
      <c r="F927" s="35"/>
      <c r="G927" s="36" t="s">
        <v>1127</v>
      </c>
      <c r="H927" s="43"/>
      <c r="I927" s="43"/>
      <c r="J927" s="37"/>
      <c r="K927" s="45"/>
    </row>
    <row r="928" ht="15.0" customHeight="1">
      <c r="A928" s="30" t="s">
        <v>1128</v>
      </c>
      <c r="B928" s="140"/>
      <c r="C928" s="141"/>
      <c r="D928" s="33"/>
      <c r="E928" s="34"/>
      <c r="F928" s="35"/>
      <c r="G928" s="36"/>
      <c r="H928" s="43"/>
      <c r="I928" s="43"/>
      <c r="J928" s="37"/>
      <c r="K928" s="45"/>
    </row>
    <row r="929" ht="15.0" customHeight="1">
      <c r="A929" s="39" t="s">
        <v>1129</v>
      </c>
      <c r="B929" s="40" t="s">
        <v>1130</v>
      </c>
      <c r="C929" s="41">
        <v>10.0</v>
      </c>
      <c r="D929" s="33" t="s">
        <v>1131</v>
      </c>
      <c r="E929" s="42">
        <v>1.2</v>
      </c>
      <c r="F929" s="35">
        <v>12.0</v>
      </c>
      <c r="G929" s="36">
        <v>2.0</v>
      </c>
      <c r="H929" s="43">
        <f t="shared" ref="H929:H969" si="270">I929/C929</f>
        <v>1.4</v>
      </c>
      <c r="I929" s="43">
        <f t="shared" ref="I929:I969" si="271">F929+G929</f>
        <v>14</v>
      </c>
      <c r="J929" s="37"/>
      <c r="K929" s="45">
        <f t="shared" ref="K929:K969" si="272">I929*J929</f>
        <v>0</v>
      </c>
    </row>
    <row r="930" ht="15.0" customHeight="1">
      <c r="A930" s="39" t="s">
        <v>1132</v>
      </c>
      <c r="B930" s="40" t="s">
        <v>1130</v>
      </c>
      <c r="C930" s="41">
        <v>10.0</v>
      </c>
      <c r="D930" s="33" t="s">
        <v>1133</v>
      </c>
      <c r="E930" s="42">
        <v>1.2</v>
      </c>
      <c r="F930" s="35">
        <v>12.0</v>
      </c>
      <c r="G930" s="36">
        <v>2.0</v>
      </c>
      <c r="H930" s="43">
        <f t="shared" si="270"/>
        <v>1.4</v>
      </c>
      <c r="I930" s="43">
        <f t="shared" si="271"/>
        <v>14</v>
      </c>
      <c r="J930" s="37"/>
      <c r="K930" s="45">
        <f t="shared" si="272"/>
        <v>0</v>
      </c>
    </row>
    <row r="931" ht="15.0" customHeight="1">
      <c r="A931" s="39" t="s">
        <v>1134</v>
      </c>
      <c r="B931" s="40" t="s">
        <v>1130</v>
      </c>
      <c r="C931" s="41">
        <v>10.0</v>
      </c>
      <c r="D931" s="33" t="s">
        <v>1135</v>
      </c>
      <c r="E931" s="42">
        <v>1.2</v>
      </c>
      <c r="F931" s="35">
        <v>12.0</v>
      </c>
      <c r="G931" s="36">
        <v>2.0</v>
      </c>
      <c r="H931" s="43">
        <f t="shared" si="270"/>
        <v>1.4</v>
      </c>
      <c r="I931" s="43">
        <f t="shared" si="271"/>
        <v>14</v>
      </c>
      <c r="J931" s="37"/>
      <c r="K931" s="45">
        <f t="shared" si="272"/>
        <v>0</v>
      </c>
    </row>
    <row r="932" ht="15.0" customHeight="1">
      <c r="A932" s="39" t="s">
        <v>1136</v>
      </c>
      <c r="B932" s="40" t="s">
        <v>1130</v>
      </c>
      <c r="C932" s="41">
        <v>10.0</v>
      </c>
      <c r="D932" s="33" t="s">
        <v>1137</v>
      </c>
      <c r="E932" s="42">
        <v>1.2</v>
      </c>
      <c r="F932" s="35">
        <v>12.0</v>
      </c>
      <c r="G932" s="36">
        <v>2.0</v>
      </c>
      <c r="H932" s="43">
        <f t="shared" si="270"/>
        <v>1.4</v>
      </c>
      <c r="I932" s="43">
        <f t="shared" si="271"/>
        <v>14</v>
      </c>
      <c r="J932" s="37"/>
      <c r="K932" s="45">
        <f t="shared" si="272"/>
        <v>0</v>
      </c>
    </row>
    <row r="933" ht="15.0" customHeight="1">
      <c r="A933" s="39" t="s">
        <v>1138</v>
      </c>
      <c r="B933" s="40" t="s">
        <v>1130</v>
      </c>
      <c r="C933" s="41">
        <v>10.0</v>
      </c>
      <c r="D933" s="33">
        <v>3.497911102126E12</v>
      </c>
      <c r="E933" s="42">
        <v>1.35</v>
      </c>
      <c r="F933" s="35">
        <v>13.5</v>
      </c>
      <c r="G933" s="36">
        <v>1.0</v>
      </c>
      <c r="H933" s="43">
        <f t="shared" si="270"/>
        <v>1.45</v>
      </c>
      <c r="I933" s="43">
        <f t="shared" si="271"/>
        <v>14.5</v>
      </c>
      <c r="J933" s="37"/>
      <c r="K933" s="45">
        <f t="shared" si="272"/>
        <v>0</v>
      </c>
    </row>
    <row r="934" ht="15.0" customHeight="1">
      <c r="A934" s="39" t="s">
        <v>1139</v>
      </c>
      <c r="B934" s="40" t="s">
        <v>1130</v>
      </c>
      <c r="C934" s="41">
        <v>10.0</v>
      </c>
      <c r="D934" s="33">
        <v>3.49791700099E12</v>
      </c>
      <c r="E934" s="42">
        <v>1.35</v>
      </c>
      <c r="F934" s="35">
        <v>13.5</v>
      </c>
      <c r="G934" s="36">
        <v>1.0</v>
      </c>
      <c r="H934" s="43">
        <f t="shared" si="270"/>
        <v>1.45</v>
      </c>
      <c r="I934" s="43">
        <f t="shared" si="271"/>
        <v>14.5</v>
      </c>
      <c r="J934" s="37"/>
      <c r="K934" s="45">
        <f t="shared" si="272"/>
        <v>0</v>
      </c>
    </row>
    <row r="935" ht="15.0" customHeight="1">
      <c r="A935" s="39" t="s">
        <v>1140</v>
      </c>
      <c r="B935" s="40" t="s">
        <v>1130</v>
      </c>
      <c r="C935" s="41">
        <v>10.0</v>
      </c>
      <c r="D935" s="33">
        <v>3.497917000303E12</v>
      </c>
      <c r="E935" s="42">
        <v>1.35</v>
      </c>
      <c r="F935" s="35">
        <v>13.5</v>
      </c>
      <c r="G935" s="36">
        <v>1.0</v>
      </c>
      <c r="H935" s="43">
        <f t="shared" si="270"/>
        <v>1.45</v>
      </c>
      <c r="I935" s="43">
        <f t="shared" si="271"/>
        <v>14.5</v>
      </c>
      <c r="J935" s="37"/>
      <c r="K935" s="45">
        <f t="shared" si="272"/>
        <v>0</v>
      </c>
    </row>
    <row r="936" ht="15.0" customHeight="1">
      <c r="A936" s="39" t="s">
        <v>1141</v>
      </c>
      <c r="B936" s="40" t="s">
        <v>1130</v>
      </c>
      <c r="C936" s="41">
        <v>10.0</v>
      </c>
      <c r="D936" s="33">
        <v>3.49791112335E12</v>
      </c>
      <c r="E936" s="42">
        <v>1.35</v>
      </c>
      <c r="F936" s="35">
        <v>13.5</v>
      </c>
      <c r="G936" s="36">
        <v>1.0</v>
      </c>
      <c r="H936" s="43">
        <f t="shared" si="270"/>
        <v>1.45</v>
      </c>
      <c r="I936" s="43">
        <f t="shared" si="271"/>
        <v>14.5</v>
      </c>
      <c r="J936" s="37"/>
      <c r="K936" s="45">
        <f t="shared" si="272"/>
        <v>0</v>
      </c>
    </row>
    <row r="937" ht="15.0" customHeight="1">
      <c r="A937" s="39" t="s">
        <v>1142</v>
      </c>
      <c r="B937" s="40" t="s">
        <v>1130</v>
      </c>
      <c r="C937" s="41">
        <v>10.0</v>
      </c>
      <c r="D937" s="33" t="s">
        <v>1143</v>
      </c>
      <c r="E937" s="42">
        <v>1.35</v>
      </c>
      <c r="F937" s="35">
        <v>13.5</v>
      </c>
      <c r="G937" s="36">
        <v>1.0</v>
      </c>
      <c r="H937" s="43">
        <f t="shared" si="270"/>
        <v>1.45</v>
      </c>
      <c r="I937" s="43">
        <f t="shared" si="271"/>
        <v>14.5</v>
      </c>
      <c r="J937" s="37"/>
      <c r="K937" s="45">
        <f t="shared" si="272"/>
        <v>0</v>
      </c>
    </row>
    <row r="938" ht="15.0" customHeight="1">
      <c r="A938" s="39" t="s">
        <v>1144</v>
      </c>
      <c r="B938" s="40" t="s">
        <v>1130</v>
      </c>
      <c r="C938" s="41">
        <v>10.0</v>
      </c>
      <c r="D938" s="33">
        <v>3.497911101129E12</v>
      </c>
      <c r="E938" s="42">
        <v>1.35</v>
      </c>
      <c r="F938" s="35">
        <v>13.5</v>
      </c>
      <c r="G938" s="36">
        <v>1.0</v>
      </c>
      <c r="H938" s="43">
        <f t="shared" si="270"/>
        <v>1.45</v>
      </c>
      <c r="I938" s="43">
        <f t="shared" si="271"/>
        <v>14.5</v>
      </c>
      <c r="J938" s="37"/>
      <c r="K938" s="45">
        <f t="shared" si="272"/>
        <v>0</v>
      </c>
    </row>
    <row r="939" ht="15.0" customHeight="1">
      <c r="A939" s="39" t="s">
        <v>1145</v>
      </c>
      <c r="B939" s="40" t="s">
        <v>1130</v>
      </c>
      <c r="C939" s="41">
        <v>10.0</v>
      </c>
      <c r="D939" s="33">
        <v>3.497911105127E12</v>
      </c>
      <c r="E939" s="42">
        <v>1.35</v>
      </c>
      <c r="F939" s="35">
        <v>13.5</v>
      </c>
      <c r="G939" s="36">
        <v>1.0</v>
      </c>
      <c r="H939" s="43">
        <f t="shared" si="270"/>
        <v>1.45</v>
      </c>
      <c r="I939" s="43">
        <f t="shared" si="271"/>
        <v>14.5</v>
      </c>
      <c r="J939" s="37"/>
      <c r="K939" s="45">
        <f t="shared" si="272"/>
        <v>0</v>
      </c>
    </row>
    <row r="940" ht="15.0" customHeight="1">
      <c r="A940" s="39" t="s">
        <v>1146</v>
      </c>
      <c r="B940" s="40" t="s">
        <v>1130</v>
      </c>
      <c r="C940" s="41">
        <v>10.0</v>
      </c>
      <c r="D940" s="33">
        <v>3.497917000914E12</v>
      </c>
      <c r="E940" s="42">
        <v>1.45</v>
      </c>
      <c r="F940" s="35">
        <v>14.5</v>
      </c>
      <c r="G940" s="36">
        <v>1.0</v>
      </c>
      <c r="H940" s="43">
        <f t="shared" si="270"/>
        <v>1.55</v>
      </c>
      <c r="I940" s="43">
        <f t="shared" si="271"/>
        <v>15.5</v>
      </c>
      <c r="J940" s="37"/>
      <c r="K940" s="45">
        <f t="shared" si="272"/>
        <v>0</v>
      </c>
    </row>
    <row r="941" ht="15.0" customHeight="1">
      <c r="A941" s="39" t="s">
        <v>1147</v>
      </c>
      <c r="B941" s="40" t="s">
        <v>1130</v>
      </c>
      <c r="C941" s="41">
        <v>10.0</v>
      </c>
      <c r="D941" s="33">
        <v>3.497917002161E12</v>
      </c>
      <c r="E941" s="42">
        <v>1.45</v>
      </c>
      <c r="F941" s="35">
        <v>14.5</v>
      </c>
      <c r="G941" s="36">
        <v>1.0</v>
      </c>
      <c r="H941" s="43">
        <f t="shared" si="270"/>
        <v>1.55</v>
      </c>
      <c r="I941" s="43">
        <f t="shared" si="271"/>
        <v>15.5</v>
      </c>
      <c r="J941" s="37"/>
      <c r="K941" s="45">
        <f t="shared" si="272"/>
        <v>0</v>
      </c>
    </row>
    <row r="942" ht="15.0" customHeight="1">
      <c r="A942" s="39" t="s">
        <v>1148</v>
      </c>
      <c r="B942" s="40" t="s">
        <v>1130</v>
      </c>
      <c r="C942" s="41">
        <v>10.0</v>
      </c>
      <c r="D942" s="33">
        <v>3.497917002789E12</v>
      </c>
      <c r="E942" s="42">
        <v>1.45</v>
      </c>
      <c r="F942" s="35">
        <v>14.5</v>
      </c>
      <c r="G942" s="36">
        <v>1.0</v>
      </c>
      <c r="H942" s="43">
        <f t="shared" si="270"/>
        <v>1.55</v>
      </c>
      <c r="I942" s="43">
        <f t="shared" si="271"/>
        <v>15.5</v>
      </c>
      <c r="J942" s="37"/>
      <c r="K942" s="45">
        <f t="shared" si="272"/>
        <v>0</v>
      </c>
    </row>
    <row r="943" ht="15.0" customHeight="1">
      <c r="A943" s="39" t="s">
        <v>1149</v>
      </c>
      <c r="B943" s="40" t="s">
        <v>1130</v>
      </c>
      <c r="C943" s="41">
        <v>10.0</v>
      </c>
      <c r="D943" s="33">
        <v>3.497917001928E12</v>
      </c>
      <c r="E943" s="42">
        <v>1.45</v>
      </c>
      <c r="F943" s="35">
        <v>14.5</v>
      </c>
      <c r="G943" s="36">
        <v>1.0</v>
      </c>
      <c r="H943" s="43">
        <f t="shared" si="270"/>
        <v>1.55</v>
      </c>
      <c r="I943" s="43">
        <f t="shared" si="271"/>
        <v>15.5</v>
      </c>
      <c r="J943" s="37"/>
      <c r="K943" s="45">
        <f t="shared" si="272"/>
        <v>0</v>
      </c>
    </row>
    <row r="944" ht="15.0" customHeight="1">
      <c r="A944" s="39" t="s">
        <v>1150</v>
      </c>
      <c r="B944" s="40" t="s">
        <v>1130</v>
      </c>
      <c r="C944" s="41">
        <v>10.0</v>
      </c>
      <c r="D944" s="33">
        <v>3.497917001911E12</v>
      </c>
      <c r="E944" s="42">
        <v>1.45</v>
      </c>
      <c r="F944" s="35">
        <v>14.5</v>
      </c>
      <c r="G944" s="36">
        <v>1.0</v>
      </c>
      <c r="H944" s="43">
        <f t="shared" si="270"/>
        <v>1.55</v>
      </c>
      <c r="I944" s="43">
        <f t="shared" si="271"/>
        <v>15.5</v>
      </c>
      <c r="J944" s="37"/>
      <c r="K944" s="45">
        <f t="shared" si="272"/>
        <v>0</v>
      </c>
    </row>
    <row r="945" ht="15.0" customHeight="1">
      <c r="A945" s="39" t="s">
        <v>1151</v>
      </c>
      <c r="B945" s="40" t="s">
        <v>1130</v>
      </c>
      <c r="C945" s="41">
        <v>10.0</v>
      </c>
      <c r="D945" s="33">
        <v>3.497917000518E12</v>
      </c>
      <c r="E945" s="42">
        <v>1.45</v>
      </c>
      <c r="F945" s="35">
        <v>14.5</v>
      </c>
      <c r="G945" s="36">
        <v>1.0</v>
      </c>
      <c r="H945" s="43">
        <f t="shared" si="270"/>
        <v>1.55</v>
      </c>
      <c r="I945" s="43">
        <f t="shared" si="271"/>
        <v>15.5</v>
      </c>
      <c r="J945" s="37"/>
      <c r="K945" s="45">
        <f t="shared" si="272"/>
        <v>0</v>
      </c>
    </row>
    <row r="946" ht="15.0" customHeight="1">
      <c r="A946" s="39" t="s">
        <v>1152</v>
      </c>
      <c r="B946" s="40" t="s">
        <v>1130</v>
      </c>
      <c r="C946" s="41">
        <v>10.0</v>
      </c>
      <c r="D946" s="33">
        <v>3.497917000907E12</v>
      </c>
      <c r="E946" s="42">
        <v>1.45</v>
      </c>
      <c r="F946" s="35">
        <v>14.5</v>
      </c>
      <c r="G946" s="36">
        <v>1.0</v>
      </c>
      <c r="H946" s="43">
        <f t="shared" si="270"/>
        <v>1.55</v>
      </c>
      <c r="I946" s="43">
        <f t="shared" si="271"/>
        <v>15.5</v>
      </c>
      <c r="J946" s="37"/>
      <c r="K946" s="45">
        <f t="shared" si="272"/>
        <v>0</v>
      </c>
    </row>
    <row r="947" ht="15.0" customHeight="1">
      <c r="A947" s="39" t="s">
        <v>1153</v>
      </c>
      <c r="B947" s="40" t="s">
        <v>1130</v>
      </c>
      <c r="C947" s="41">
        <v>10.0</v>
      </c>
      <c r="D947" s="33">
        <v>3.497917001263E12</v>
      </c>
      <c r="E947" s="42">
        <v>1.45</v>
      </c>
      <c r="F947" s="35">
        <v>14.5</v>
      </c>
      <c r="G947" s="36">
        <v>1.0</v>
      </c>
      <c r="H947" s="43">
        <f t="shared" si="270"/>
        <v>1.55</v>
      </c>
      <c r="I947" s="43">
        <f t="shared" si="271"/>
        <v>15.5</v>
      </c>
      <c r="J947" s="37"/>
      <c r="K947" s="45">
        <f t="shared" si="272"/>
        <v>0</v>
      </c>
    </row>
    <row r="948" ht="15.0" customHeight="1">
      <c r="A948" s="39" t="s">
        <v>1154</v>
      </c>
      <c r="B948" s="40" t="s">
        <v>1130</v>
      </c>
      <c r="C948" s="41">
        <v>10.0</v>
      </c>
      <c r="D948" s="33">
        <v>3.497917002741E12</v>
      </c>
      <c r="E948" s="42">
        <v>1.45</v>
      </c>
      <c r="F948" s="35">
        <v>14.5</v>
      </c>
      <c r="G948" s="36">
        <v>1.0</v>
      </c>
      <c r="H948" s="43">
        <f t="shared" si="270"/>
        <v>1.55</v>
      </c>
      <c r="I948" s="43">
        <f t="shared" si="271"/>
        <v>15.5</v>
      </c>
      <c r="J948" s="37"/>
      <c r="K948" s="45">
        <f t="shared" si="272"/>
        <v>0</v>
      </c>
    </row>
    <row r="949" ht="15.0" customHeight="1">
      <c r="A949" s="39" t="s">
        <v>1155</v>
      </c>
      <c r="B949" s="40" t="s">
        <v>1130</v>
      </c>
      <c r="C949" s="41">
        <v>10.0</v>
      </c>
      <c r="D949" s="33">
        <v>3.497917002352E12</v>
      </c>
      <c r="E949" s="42">
        <v>1.45</v>
      </c>
      <c r="F949" s="35">
        <v>14.5</v>
      </c>
      <c r="G949" s="36">
        <v>1.0</v>
      </c>
      <c r="H949" s="43">
        <f t="shared" si="270"/>
        <v>1.55</v>
      </c>
      <c r="I949" s="43">
        <f t="shared" si="271"/>
        <v>15.5</v>
      </c>
      <c r="J949" s="37"/>
      <c r="K949" s="45">
        <f t="shared" si="272"/>
        <v>0</v>
      </c>
    </row>
    <row r="950" ht="15.0" customHeight="1">
      <c r="A950" s="39" t="s">
        <v>1156</v>
      </c>
      <c r="B950" s="40" t="s">
        <v>1130</v>
      </c>
      <c r="C950" s="41">
        <v>10.0</v>
      </c>
      <c r="D950" s="33">
        <v>3.497917001621E12</v>
      </c>
      <c r="E950" s="42">
        <v>1.45</v>
      </c>
      <c r="F950" s="35">
        <v>14.5</v>
      </c>
      <c r="G950" s="36">
        <v>1.0</v>
      </c>
      <c r="H950" s="43">
        <f t="shared" si="270"/>
        <v>1.55</v>
      </c>
      <c r="I950" s="43">
        <f t="shared" si="271"/>
        <v>15.5</v>
      </c>
      <c r="J950" s="37"/>
      <c r="K950" s="45">
        <f t="shared" si="272"/>
        <v>0</v>
      </c>
    </row>
    <row r="951" ht="15.0" customHeight="1">
      <c r="A951" s="39" t="s">
        <v>1157</v>
      </c>
      <c r="B951" s="40" t="s">
        <v>1130</v>
      </c>
      <c r="C951" s="41">
        <v>10.0</v>
      </c>
      <c r="D951" s="33">
        <v>3.497917000938E12</v>
      </c>
      <c r="E951" s="42">
        <v>1.5</v>
      </c>
      <c r="F951" s="35">
        <v>15.0</v>
      </c>
      <c r="G951" s="36">
        <v>1.0</v>
      </c>
      <c r="H951" s="43">
        <f t="shared" si="270"/>
        <v>1.6</v>
      </c>
      <c r="I951" s="43">
        <f t="shared" si="271"/>
        <v>16</v>
      </c>
      <c r="J951" s="37"/>
      <c r="K951" s="45">
        <f t="shared" si="272"/>
        <v>0</v>
      </c>
    </row>
    <row r="952" ht="15.0" customHeight="1">
      <c r="A952" s="39" t="s">
        <v>1158</v>
      </c>
      <c r="B952" s="40" t="s">
        <v>1130</v>
      </c>
      <c r="C952" s="41">
        <v>10.0</v>
      </c>
      <c r="D952" s="33">
        <v>3.497917003151E12</v>
      </c>
      <c r="E952" s="42">
        <v>1.5</v>
      </c>
      <c r="F952" s="35">
        <v>15.0</v>
      </c>
      <c r="G952" s="36">
        <v>1.0</v>
      </c>
      <c r="H952" s="43">
        <f t="shared" si="270"/>
        <v>1.6</v>
      </c>
      <c r="I952" s="43">
        <f t="shared" si="271"/>
        <v>16</v>
      </c>
      <c r="J952" s="37"/>
      <c r="K952" s="45">
        <f t="shared" si="272"/>
        <v>0</v>
      </c>
    </row>
    <row r="953" ht="15.0" customHeight="1">
      <c r="A953" s="39" t="s">
        <v>1159</v>
      </c>
      <c r="B953" s="40" t="s">
        <v>1130</v>
      </c>
      <c r="C953" s="41">
        <v>10.0</v>
      </c>
      <c r="D953" s="33">
        <v>3.497917003168E12</v>
      </c>
      <c r="E953" s="42">
        <v>1.5</v>
      </c>
      <c r="F953" s="35">
        <v>15.0</v>
      </c>
      <c r="G953" s="36">
        <v>1.0</v>
      </c>
      <c r="H953" s="43">
        <f t="shared" si="270"/>
        <v>1.6</v>
      </c>
      <c r="I953" s="43">
        <f t="shared" si="271"/>
        <v>16</v>
      </c>
      <c r="J953" s="37"/>
      <c r="K953" s="45">
        <f t="shared" si="272"/>
        <v>0</v>
      </c>
    </row>
    <row r="954" ht="15.0" customHeight="1">
      <c r="A954" s="39" t="s">
        <v>1160</v>
      </c>
      <c r="B954" s="40" t="s">
        <v>1130</v>
      </c>
      <c r="C954" s="41">
        <v>10.0</v>
      </c>
      <c r="D954" s="33">
        <v>3.49791700338E12</v>
      </c>
      <c r="E954" s="42">
        <v>1.5</v>
      </c>
      <c r="F954" s="35">
        <v>15.0</v>
      </c>
      <c r="G954" s="36">
        <v>1.0</v>
      </c>
      <c r="H954" s="43">
        <f t="shared" si="270"/>
        <v>1.6</v>
      </c>
      <c r="I954" s="43">
        <f t="shared" si="271"/>
        <v>16</v>
      </c>
      <c r="J954" s="37"/>
      <c r="K954" s="45">
        <f t="shared" si="272"/>
        <v>0</v>
      </c>
    </row>
    <row r="955" ht="15.0" customHeight="1">
      <c r="A955" s="39" t="s">
        <v>1161</v>
      </c>
      <c r="B955" s="40" t="s">
        <v>1130</v>
      </c>
      <c r="C955" s="41">
        <v>10.0</v>
      </c>
      <c r="D955" s="33">
        <v>3.49791700354E12</v>
      </c>
      <c r="E955" s="42">
        <v>1.5</v>
      </c>
      <c r="F955" s="35">
        <v>15.0</v>
      </c>
      <c r="G955" s="36">
        <v>1.0</v>
      </c>
      <c r="H955" s="43">
        <f t="shared" si="270"/>
        <v>1.6</v>
      </c>
      <c r="I955" s="43">
        <f t="shared" si="271"/>
        <v>16</v>
      </c>
      <c r="J955" s="37"/>
      <c r="K955" s="45">
        <f t="shared" si="272"/>
        <v>0</v>
      </c>
    </row>
    <row r="956" ht="15.0" customHeight="1">
      <c r="A956" s="39" t="s">
        <v>1162</v>
      </c>
      <c r="B956" s="40" t="s">
        <v>1130</v>
      </c>
      <c r="C956" s="41">
        <v>10.0</v>
      </c>
      <c r="D956" s="33">
        <v>3.497917003564E12</v>
      </c>
      <c r="E956" s="42">
        <v>1.5</v>
      </c>
      <c r="F956" s="35">
        <v>15.0</v>
      </c>
      <c r="G956" s="36">
        <v>1.0</v>
      </c>
      <c r="H956" s="43">
        <f t="shared" si="270"/>
        <v>1.6</v>
      </c>
      <c r="I956" s="43">
        <f t="shared" si="271"/>
        <v>16</v>
      </c>
      <c r="J956" s="37"/>
      <c r="K956" s="45">
        <f t="shared" si="272"/>
        <v>0</v>
      </c>
    </row>
    <row r="957" ht="15.0" customHeight="1">
      <c r="A957" s="39" t="s">
        <v>1163</v>
      </c>
      <c r="B957" s="40" t="s">
        <v>1130</v>
      </c>
      <c r="C957" s="41">
        <v>10.0</v>
      </c>
      <c r="D957" s="33">
        <v>3.497917003588E12</v>
      </c>
      <c r="E957" s="42">
        <v>1.5</v>
      </c>
      <c r="F957" s="35">
        <v>15.0</v>
      </c>
      <c r="G957" s="36">
        <v>1.0</v>
      </c>
      <c r="H957" s="43">
        <f t="shared" si="270"/>
        <v>1.6</v>
      </c>
      <c r="I957" s="43">
        <f t="shared" si="271"/>
        <v>16</v>
      </c>
      <c r="J957" s="37"/>
      <c r="K957" s="45">
        <f t="shared" si="272"/>
        <v>0</v>
      </c>
    </row>
    <row r="958" ht="15.0" customHeight="1">
      <c r="A958" s="39" t="s">
        <v>1164</v>
      </c>
      <c r="B958" s="40" t="s">
        <v>1130</v>
      </c>
      <c r="C958" s="41">
        <v>10.0</v>
      </c>
      <c r="D958" s="33">
        <v>3.497917003823E12</v>
      </c>
      <c r="E958" s="42">
        <v>1.55</v>
      </c>
      <c r="F958" s="35">
        <v>15.5</v>
      </c>
      <c r="G958" s="36">
        <v>1.0</v>
      </c>
      <c r="H958" s="43">
        <f t="shared" si="270"/>
        <v>1.65</v>
      </c>
      <c r="I958" s="43">
        <f t="shared" si="271"/>
        <v>16.5</v>
      </c>
      <c r="J958" s="37"/>
      <c r="K958" s="45">
        <f t="shared" si="272"/>
        <v>0</v>
      </c>
    </row>
    <row r="959" ht="15.0" customHeight="1">
      <c r="A959" s="39" t="s">
        <v>1165</v>
      </c>
      <c r="B959" s="40" t="s">
        <v>1130</v>
      </c>
      <c r="C959" s="41">
        <v>10.0</v>
      </c>
      <c r="D959" s="33">
        <v>3.497917003809E12</v>
      </c>
      <c r="E959" s="42">
        <v>1.55</v>
      </c>
      <c r="F959" s="35">
        <v>15.5</v>
      </c>
      <c r="G959" s="36">
        <v>1.0</v>
      </c>
      <c r="H959" s="43">
        <f t="shared" si="270"/>
        <v>1.65</v>
      </c>
      <c r="I959" s="43">
        <f t="shared" si="271"/>
        <v>16.5</v>
      </c>
      <c r="J959" s="37"/>
      <c r="K959" s="45">
        <f t="shared" si="272"/>
        <v>0</v>
      </c>
    </row>
    <row r="960" ht="15.0" customHeight="1">
      <c r="A960" s="39" t="s">
        <v>1166</v>
      </c>
      <c r="B960" s="40" t="s">
        <v>1130</v>
      </c>
      <c r="C960" s="41">
        <v>10.0</v>
      </c>
      <c r="D960" s="33">
        <v>3.497917003656E12</v>
      </c>
      <c r="E960" s="42">
        <v>1.55</v>
      </c>
      <c r="F960" s="35">
        <v>15.5</v>
      </c>
      <c r="G960" s="36">
        <v>1.0</v>
      </c>
      <c r="H960" s="43">
        <f t="shared" si="270"/>
        <v>1.65</v>
      </c>
      <c r="I960" s="43">
        <f t="shared" si="271"/>
        <v>16.5</v>
      </c>
      <c r="J960" s="37"/>
      <c r="K960" s="45">
        <f t="shared" si="272"/>
        <v>0</v>
      </c>
    </row>
    <row r="961" ht="15.0" customHeight="1">
      <c r="A961" s="39" t="s">
        <v>1167</v>
      </c>
      <c r="B961" s="40" t="s">
        <v>1130</v>
      </c>
      <c r="C961" s="41">
        <v>10.0</v>
      </c>
      <c r="D961" s="33">
        <v>3.497917003816E12</v>
      </c>
      <c r="E961" s="42">
        <v>1.55</v>
      </c>
      <c r="F961" s="35">
        <v>15.5</v>
      </c>
      <c r="G961" s="36">
        <v>1.0</v>
      </c>
      <c r="H961" s="43">
        <f t="shared" si="270"/>
        <v>1.65</v>
      </c>
      <c r="I961" s="43">
        <f t="shared" si="271"/>
        <v>16.5</v>
      </c>
      <c r="J961" s="37"/>
      <c r="K961" s="45">
        <f t="shared" si="272"/>
        <v>0</v>
      </c>
    </row>
    <row r="962" ht="15.0" customHeight="1">
      <c r="A962" s="39" t="s">
        <v>1168</v>
      </c>
      <c r="B962" s="40" t="s">
        <v>1130</v>
      </c>
      <c r="C962" s="41">
        <v>10.0</v>
      </c>
      <c r="D962" s="33">
        <v>3.497917003854E12</v>
      </c>
      <c r="E962" s="42">
        <v>1.55</v>
      </c>
      <c r="F962" s="35">
        <v>15.5</v>
      </c>
      <c r="G962" s="36">
        <v>1.0</v>
      </c>
      <c r="H962" s="43">
        <f t="shared" si="270"/>
        <v>1.65</v>
      </c>
      <c r="I962" s="43">
        <f t="shared" si="271"/>
        <v>16.5</v>
      </c>
      <c r="J962" s="37"/>
      <c r="K962" s="45">
        <f t="shared" si="272"/>
        <v>0</v>
      </c>
    </row>
    <row r="963" ht="15.0" customHeight="1">
      <c r="A963" s="39" t="s">
        <v>1169</v>
      </c>
      <c r="B963" s="40" t="s">
        <v>1130</v>
      </c>
      <c r="C963" s="41">
        <v>10.0</v>
      </c>
      <c r="D963" s="33">
        <v>3.49791700383E12</v>
      </c>
      <c r="E963" s="42">
        <v>1.55</v>
      </c>
      <c r="F963" s="35">
        <v>15.5</v>
      </c>
      <c r="G963" s="36">
        <v>1.0</v>
      </c>
      <c r="H963" s="43">
        <f t="shared" si="270"/>
        <v>1.65</v>
      </c>
      <c r="I963" s="43">
        <f t="shared" si="271"/>
        <v>16.5</v>
      </c>
      <c r="J963" s="37"/>
      <c r="K963" s="45">
        <f t="shared" si="272"/>
        <v>0</v>
      </c>
    </row>
    <row r="964" ht="15.0" customHeight="1">
      <c r="A964" s="39" t="s">
        <v>1170</v>
      </c>
      <c r="B964" s="40" t="s">
        <v>1130</v>
      </c>
      <c r="C964" s="41">
        <v>10.0</v>
      </c>
      <c r="D964" s="33">
        <v>3.497917003847E12</v>
      </c>
      <c r="E964" s="42">
        <v>1.55</v>
      </c>
      <c r="F964" s="35">
        <v>15.5</v>
      </c>
      <c r="G964" s="36">
        <v>1.0</v>
      </c>
      <c r="H964" s="43">
        <f t="shared" si="270"/>
        <v>1.65</v>
      </c>
      <c r="I964" s="43">
        <f t="shared" si="271"/>
        <v>16.5</v>
      </c>
      <c r="J964" s="37"/>
      <c r="K964" s="45">
        <f t="shared" si="272"/>
        <v>0</v>
      </c>
    </row>
    <row r="965" ht="15.0" customHeight="1">
      <c r="A965" s="39" t="s">
        <v>1171</v>
      </c>
      <c r="B965" s="40" t="s">
        <v>1172</v>
      </c>
      <c r="C965" s="41">
        <v>10.0</v>
      </c>
      <c r="D965" s="33">
        <v>3.497917003618E12</v>
      </c>
      <c r="E965" s="42">
        <v>1.85</v>
      </c>
      <c r="F965" s="35">
        <v>18.5</v>
      </c>
      <c r="G965" s="36">
        <v>1.0</v>
      </c>
      <c r="H965" s="43">
        <f t="shared" si="270"/>
        <v>1.95</v>
      </c>
      <c r="I965" s="43">
        <f t="shared" si="271"/>
        <v>19.5</v>
      </c>
      <c r="J965" s="37"/>
      <c r="K965" s="45">
        <f t="shared" si="272"/>
        <v>0</v>
      </c>
    </row>
    <row r="966" ht="15.0" customHeight="1">
      <c r="A966" s="39" t="s">
        <v>1173</v>
      </c>
      <c r="B966" s="40" t="s">
        <v>1172</v>
      </c>
      <c r="C966" s="41">
        <v>10.0</v>
      </c>
      <c r="D966" s="33">
        <v>3.497917003694E12</v>
      </c>
      <c r="E966" s="42">
        <v>2.05</v>
      </c>
      <c r="F966" s="35">
        <v>20.5</v>
      </c>
      <c r="G966" s="36">
        <v>1.0</v>
      </c>
      <c r="H966" s="43">
        <f t="shared" si="270"/>
        <v>2.15</v>
      </c>
      <c r="I966" s="43">
        <f t="shared" si="271"/>
        <v>21.5</v>
      </c>
      <c r="J966" s="37"/>
      <c r="K966" s="45">
        <f t="shared" si="272"/>
        <v>0</v>
      </c>
    </row>
    <row r="967" ht="15.0" customHeight="1">
      <c r="A967" s="39" t="s">
        <v>1174</v>
      </c>
      <c r="B967" s="40" t="s">
        <v>1175</v>
      </c>
      <c r="C967" s="41">
        <v>10.0</v>
      </c>
      <c r="D967" s="33">
        <v>3.497914000009E12</v>
      </c>
      <c r="E967" s="42">
        <v>1.8</v>
      </c>
      <c r="F967" s="35">
        <v>18.0</v>
      </c>
      <c r="G967" s="36">
        <v>1.0</v>
      </c>
      <c r="H967" s="43">
        <f t="shared" si="270"/>
        <v>1.9</v>
      </c>
      <c r="I967" s="43">
        <f t="shared" si="271"/>
        <v>19</v>
      </c>
      <c r="J967" s="37"/>
      <c r="K967" s="45">
        <f t="shared" si="272"/>
        <v>0</v>
      </c>
    </row>
    <row r="968" ht="15.0" customHeight="1">
      <c r="A968" s="39" t="s">
        <v>1176</v>
      </c>
      <c r="B968" s="40" t="s">
        <v>1172</v>
      </c>
      <c r="C968" s="41">
        <v>10.0</v>
      </c>
      <c r="D968" s="33">
        <v>3.497917002451E12</v>
      </c>
      <c r="E968" s="42">
        <v>2.75</v>
      </c>
      <c r="F968" s="35">
        <v>27.5</v>
      </c>
      <c r="G968" s="36">
        <v>1.0</v>
      </c>
      <c r="H968" s="43">
        <f t="shared" si="270"/>
        <v>2.85</v>
      </c>
      <c r="I968" s="43">
        <f t="shared" si="271"/>
        <v>28.5</v>
      </c>
      <c r="J968" s="37"/>
      <c r="K968" s="45">
        <f t="shared" si="272"/>
        <v>0</v>
      </c>
    </row>
    <row r="969" ht="15.0" customHeight="1">
      <c r="A969" s="39" t="s">
        <v>1177</v>
      </c>
      <c r="B969" s="40" t="s">
        <v>1178</v>
      </c>
      <c r="C969" s="41">
        <v>8.0</v>
      </c>
      <c r="D969" s="33">
        <v>3.760326670086E12</v>
      </c>
      <c r="E969" s="42">
        <v>2.75</v>
      </c>
      <c r="F969" s="35">
        <v>22.0</v>
      </c>
      <c r="G969" s="36">
        <v>1.0</v>
      </c>
      <c r="H969" s="43">
        <f t="shared" si="270"/>
        <v>2.875</v>
      </c>
      <c r="I969" s="43">
        <f t="shared" si="271"/>
        <v>23</v>
      </c>
      <c r="J969" s="37"/>
      <c r="K969" s="45">
        <f t="shared" si="272"/>
        <v>0</v>
      </c>
    </row>
    <row r="970" ht="15.0" customHeight="1">
      <c r="A970" s="30" t="s">
        <v>1179</v>
      </c>
      <c r="B970" s="31"/>
      <c r="C970" s="32"/>
      <c r="D970" s="33"/>
      <c r="E970" s="34"/>
      <c r="F970" s="35"/>
      <c r="G970" s="36"/>
      <c r="H970" s="43"/>
      <c r="I970" s="43"/>
      <c r="J970" s="37"/>
      <c r="K970" s="45"/>
    </row>
    <row r="971" ht="15.0" customHeight="1">
      <c r="A971" s="39" t="s">
        <v>1180</v>
      </c>
      <c r="B971" s="40" t="s">
        <v>1172</v>
      </c>
      <c r="C971" s="41">
        <v>24.0</v>
      </c>
      <c r="D971" s="33">
        <v>3.168930009917E12</v>
      </c>
      <c r="E971" s="42">
        <v>1.45</v>
      </c>
      <c r="F971" s="35">
        <v>34.8</v>
      </c>
      <c r="G971" s="36">
        <v>1.0</v>
      </c>
      <c r="H971" s="43">
        <f t="shared" ref="H971:H980" si="273">I971/C971</f>
        <v>1.491666667</v>
      </c>
      <c r="I971" s="43">
        <f t="shared" ref="I971:I980" si="274">F971+G971</f>
        <v>35.8</v>
      </c>
      <c r="J971" s="37"/>
      <c r="K971" s="45">
        <f t="shared" ref="K971:K980" si="275">I971*J971</f>
        <v>0</v>
      </c>
    </row>
    <row r="972" ht="15.0" customHeight="1">
      <c r="A972" s="39" t="s">
        <v>1181</v>
      </c>
      <c r="B972" s="40" t="s">
        <v>1172</v>
      </c>
      <c r="C972" s="41">
        <v>12.0</v>
      </c>
      <c r="D972" s="33">
        <v>3.168930010067E12</v>
      </c>
      <c r="E972" s="42">
        <v>1.45</v>
      </c>
      <c r="F972" s="35">
        <v>17.4</v>
      </c>
      <c r="G972" s="36">
        <v>1.0</v>
      </c>
      <c r="H972" s="43">
        <f t="shared" si="273"/>
        <v>1.533333333</v>
      </c>
      <c r="I972" s="43">
        <f t="shared" si="274"/>
        <v>18.4</v>
      </c>
      <c r="J972" s="37"/>
      <c r="K972" s="45">
        <f t="shared" si="275"/>
        <v>0</v>
      </c>
    </row>
    <row r="973" ht="15.0" customHeight="1">
      <c r="A973" s="39" t="s">
        <v>1182</v>
      </c>
      <c r="B973" s="40" t="s">
        <v>1172</v>
      </c>
      <c r="C973" s="41">
        <v>24.0</v>
      </c>
      <c r="D973" s="33">
        <v>3.168930177678E12</v>
      </c>
      <c r="E973" s="42">
        <v>1.45</v>
      </c>
      <c r="F973" s="35">
        <v>34.8</v>
      </c>
      <c r="G973" s="36">
        <v>1.0</v>
      </c>
      <c r="H973" s="43">
        <f t="shared" si="273"/>
        <v>1.491666667</v>
      </c>
      <c r="I973" s="43">
        <f t="shared" si="274"/>
        <v>35.8</v>
      </c>
      <c r="J973" s="37"/>
      <c r="K973" s="45">
        <f t="shared" si="275"/>
        <v>0</v>
      </c>
    </row>
    <row r="974" ht="15.0" customHeight="1">
      <c r="A974" s="39" t="s">
        <v>1183</v>
      </c>
      <c r="B974" s="40" t="s">
        <v>1172</v>
      </c>
      <c r="C974" s="41">
        <v>24.0</v>
      </c>
      <c r="D974" s="33">
        <v>3.168930167952E12</v>
      </c>
      <c r="E974" s="42">
        <v>1.45</v>
      </c>
      <c r="F974" s="35">
        <v>34.8</v>
      </c>
      <c r="G974" s="36">
        <v>1.0</v>
      </c>
      <c r="H974" s="43">
        <f t="shared" si="273"/>
        <v>1.491666667</v>
      </c>
      <c r="I974" s="43">
        <f t="shared" si="274"/>
        <v>35.8</v>
      </c>
      <c r="J974" s="37"/>
      <c r="K974" s="45">
        <f t="shared" si="275"/>
        <v>0</v>
      </c>
    </row>
    <row r="975" ht="15.0" customHeight="1">
      <c r="A975" s="39" t="s">
        <v>1184</v>
      </c>
      <c r="B975" s="40" t="s">
        <v>1172</v>
      </c>
      <c r="C975" s="41">
        <v>24.0</v>
      </c>
      <c r="D975" s="33">
        <v>3.168930167891E12</v>
      </c>
      <c r="E975" s="42">
        <v>1.45</v>
      </c>
      <c r="F975" s="35">
        <v>34.8</v>
      </c>
      <c r="G975" s="36">
        <v>1.0</v>
      </c>
      <c r="H975" s="43">
        <f t="shared" si="273"/>
        <v>1.491666667</v>
      </c>
      <c r="I975" s="43">
        <f t="shared" si="274"/>
        <v>35.8</v>
      </c>
      <c r="J975" s="37"/>
      <c r="K975" s="45">
        <f t="shared" si="275"/>
        <v>0</v>
      </c>
    </row>
    <row r="976" ht="15.0" customHeight="1">
      <c r="A976" s="39" t="s">
        <v>1185</v>
      </c>
      <c r="B976" s="40" t="s">
        <v>1172</v>
      </c>
      <c r="C976" s="41">
        <v>24.0</v>
      </c>
      <c r="D976" s="33">
        <v>3.168930177616E12</v>
      </c>
      <c r="E976" s="42">
        <v>1.45</v>
      </c>
      <c r="F976" s="35">
        <v>34.8</v>
      </c>
      <c r="G976" s="36">
        <v>1.0</v>
      </c>
      <c r="H976" s="43">
        <f t="shared" si="273"/>
        <v>1.491666667</v>
      </c>
      <c r="I976" s="43">
        <f t="shared" si="274"/>
        <v>35.8</v>
      </c>
      <c r="J976" s="37"/>
      <c r="K976" s="45">
        <f t="shared" si="275"/>
        <v>0</v>
      </c>
    </row>
    <row r="977" ht="15.0" customHeight="1">
      <c r="A977" s="111" t="s">
        <v>1186</v>
      </c>
      <c r="B977" s="40" t="s">
        <v>1172</v>
      </c>
      <c r="C977" s="41">
        <v>24.0</v>
      </c>
      <c r="D977" s="33">
        <v>3.168930167921E12</v>
      </c>
      <c r="E977" s="42">
        <v>1.45</v>
      </c>
      <c r="F977" s="35">
        <v>34.8</v>
      </c>
      <c r="G977" s="36">
        <v>1.0</v>
      </c>
      <c r="H977" s="43">
        <f t="shared" si="273"/>
        <v>1.491666667</v>
      </c>
      <c r="I977" s="43">
        <f t="shared" si="274"/>
        <v>35.8</v>
      </c>
      <c r="J977" s="37"/>
      <c r="K977" s="45">
        <f t="shared" si="275"/>
        <v>0</v>
      </c>
    </row>
    <row r="978" ht="15.0" customHeight="1">
      <c r="A978" s="39" t="s">
        <v>1187</v>
      </c>
      <c r="B978" s="40" t="s">
        <v>1172</v>
      </c>
      <c r="C978" s="41">
        <v>24.0</v>
      </c>
      <c r="D978" s="33">
        <v>3.16893017635E12</v>
      </c>
      <c r="E978" s="42">
        <v>1.45</v>
      </c>
      <c r="F978" s="35">
        <v>34.8</v>
      </c>
      <c r="G978" s="36">
        <v>1.0</v>
      </c>
      <c r="H978" s="43">
        <f t="shared" si="273"/>
        <v>1.491666667</v>
      </c>
      <c r="I978" s="43">
        <f t="shared" si="274"/>
        <v>35.8</v>
      </c>
      <c r="J978" s="37"/>
      <c r="K978" s="45">
        <f t="shared" si="275"/>
        <v>0</v>
      </c>
    </row>
    <row r="979" ht="15.0" customHeight="1">
      <c r="A979" s="39" t="s">
        <v>1188</v>
      </c>
      <c r="B979" s="40" t="s">
        <v>1172</v>
      </c>
      <c r="C979" s="41">
        <v>24.0</v>
      </c>
      <c r="D979" s="33">
        <v>3.168930177647E12</v>
      </c>
      <c r="E979" s="42">
        <v>1.45</v>
      </c>
      <c r="F979" s="35">
        <v>34.8</v>
      </c>
      <c r="G979" s="36">
        <v>1.0</v>
      </c>
      <c r="H979" s="43">
        <f t="shared" si="273"/>
        <v>1.491666667</v>
      </c>
      <c r="I979" s="43">
        <f t="shared" si="274"/>
        <v>35.8</v>
      </c>
      <c r="J979" s="37"/>
      <c r="K979" s="45">
        <f t="shared" si="275"/>
        <v>0</v>
      </c>
    </row>
    <row r="980" ht="15.0" customHeight="1">
      <c r="A980" s="39" t="s">
        <v>1189</v>
      </c>
      <c r="B980" s="40" t="s">
        <v>1172</v>
      </c>
      <c r="C980" s="41">
        <v>24.0</v>
      </c>
      <c r="D980" s="33">
        <v>3.168930176329E12</v>
      </c>
      <c r="E980" s="42">
        <v>1.45</v>
      </c>
      <c r="F980" s="35">
        <v>34.8</v>
      </c>
      <c r="G980" s="36">
        <v>1.0</v>
      </c>
      <c r="H980" s="43">
        <f t="shared" si="273"/>
        <v>1.491666667</v>
      </c>
      <c r="I980" s="43">
        <f t="shared" si="274"/>
        <v>35.8</v>
      </c>
      <c r="J980" s="37"/>
      <c r="K980" s="45">
        <f t="shared" si="275"/>
        <v>0</v>
      </c>
    </row>
    <row r="981" ht="15.0" customHeight="1">
      <c r="A981" s="30" t="s">
        <v>1190</v>
      </c>
      <c r="B981" s="31"/>
      <c r="C981" s="32"/>
      <c r="D981" s="33"/>
      <c r="E981" s="34"/>
      <c r="F981" s="35"/>
      <c r="G981" s="36"/>
      <c r="H981" s="43"/>
      <c r="I981" s="43"/>
      <c r="J981" s="37"/>
      <c r="K981" s="45"/>
    </row>
    <row r="982" ht="15.0" customHeight="1">
      <c r="A982" s="39" t="s">
        <v>1191</v>
      </c>
      <c r="B982" s="40" t="s">
        <v>1175</v>
      </c>
      <c r="C982" s="41">
        <v>18.0</v>
      </c>
      <c r="D982" s="33">
        <v>8.412600037461E12</v>
      </c>
      <c r="E982" s="42">
        <v>1.95</v>
      </c>
      <c r="F982" s="35">
        <v>35.1</v>
      </c>
      <c r="G982" s="36">
        <v>1.0</v>
      </c>
      <c r="H982" s="43">
        <f t="shared" ref="H982:H986" si="276">I982/C982</f>
        <v>2.005555556</v>
      </c>
      <c r="I982" s="43">
        <f t="shared" ref="I982:I986" si="277">F982+G982</f>
        <v>36.1</v>
      </c>
      <c r="J982" s="37"/>
      <c r="K982" s="45">
        <f t="shared" ref="K982:K986" si="278">I982*J982</f>
        <v>0</v>
      </c>
    </row>
    <row r="983" ht="15.0" customHeight="1">
      <c r="A983" s="39" t="s">
        <v>1192</v>
      </c>
      <c r="B983" s="40" t="s">
        <v>1175</v>
      </c>
      <c r="C983" s="41">
        <v>18.0</v>
      </c>
      <c r="D983" s="33">
        <v>8.412600019672E12</v>
      </c>
      <c r="E983" s="42">
        <v>1.95</v>
      </c>
      <c r="F983" s="35">
        <v>35.1</v>
      </c>
      <c r="G983" s="36">
        <v>1.0</v>
      </c>
      <c r="H983" s="43">
        <f t="shared" si="276"/>
        <v>2.005555556</v>
      </c>
      <c r="I983" s="43">
        <f t="shared" si="277"/>
        <v>36.1</v>
      </c>
      <c r="J983" s="37"/>
      <c r="K983" s="45">
        <f t="shared" si="278"/>
        <v>0</v>
      </c>
    </row>
    <row r="984" ht="15.0" customHeight="1">
      <c r="A984" s="39" t="s">
        <v>1193</v>
      </c>
      <c r="B984" s="40" t="s">
        <v>1175</v>
      </c>
      <c r="C984" s="41">
        <v>18.0</v>
      </c>
      <c r="D984" s="33">
        <v>8.412600038727E12</v>
      </c>
      <c r="E984" s="42">
        <v>1.95</v>
      </c>
      <c r="F984" s="35">
        <v>35.1</v>
      </c>
      <c r="G984" s="36">
        <v>1.0</v>
      </c>
      <c r="H984" s="43">
        <f t="shared" si="276"/>
        <v>2.005555556</v>
      </c>
      <c r="I984" s="43">
        <f t="shared" si="277"/>
        <v>36.1</v>
      </c>
      <c r="J984" s="37"/>
      <c r="K984" s="45">
        <f t="shared" si="278"/>
        <v>0</v>
      </c>
    </row>
    <row r="985" ht="15.0" customHeight="1">
      <c r="A985" s="39" t="s">
        <v>1194</v>
      </c>
      <c r="B985" s="40" t="s">
        <v>1175</v>
      </c>
      <c r="C985" s="41">
        <v>18.0</v>
      </c>
      <c r="D985" s="33">
        <v>8.412600019689E12</v>
      </c>
      <c r="E985" s="42">
        <v>1.95</v>
      </c>
      <c r="F985" s="35">
        <v>35.1</v>
      </c>
      <c r="G985" s="36">
        <v>1.0</v>
      </c>
      <c r="H985" s="43">
        <f t="shared" si="276"/>
        <v>2.005555556</v>
      </c>
      <c r="I985" s="43">
        <f t="shared" si="277"/>
        <v>36.1</v>
      </c>
      <c r="J985" s="37"/>
      <c r="K985" s="45">
        <f t="shared" si="278"/>
        <v>0</v>
      </c>
    </row>
    <row r="986" ht="15.0" customHeight="1">
      <c r="A986" s="48" t="s">
        <v>1195</v>
      </c>
      <c r="B986" s="58" t="s">
        <v>1175</v>
      </c>
      <c r="C986" s="58">
        <v>18.0</v>
      </c>
      <c r="D986" s="51" t="s">
        <v>1196</v>
      </c>
      <c r="E986" s="56">
        <v>1.95</v>
      </c>
      <c r="F986" s="151">
        <v>35.1</v>
      </c>
      <c r="G986" s="36">
        <v>1.0</v>
      </c>
      <c r="H986" s="43">
        <f t="shared" si="276"/>
        <v>2.005555556</v>
      </c>
      <c r="I986" s="43">
        <f t="shared" si="277"/>
        <v>36.1</v>
      </c>
      <c r="J986" s="37"/>
      <c r="K986" s="45">
        <f t="shared" si="278"/>
        <v>0</v>
      </c>
    </row>
    <row r="987" ht="15.0" customHeight="1">
      <c r="A987" s="30" t="s">
        <v>1197</v>
      </c>
      <c r="B987" s="31"/>
      <c r="C987" s="32"/>
      <c r="D987" s="33"/>
      <c r="E987" s="34"/>
      <c r="F987" s="35"/>
      <c r="G987" s="36"/>
      <c r="H987" s="43"/>
      <c r="I987" s="43"/>
      <c r="J987" s="37"/>
      <c r="K987" s="45"/>
    </row>
    <row r="988" ht="15.0" customHeight="1">
      <c r="A988" s="39" t="s">
        <v>1198</v>
      </c>
      <c r="B988" s="152" t="s">
        <v>1199</v>
      </c>
      <c r="C988" s="41">
        <v>12.0</v>
      </c>
      <c r="D988" s="33">
        <v>3.168930502005E12</v>
      </c>
      <c r="E988" s="42">
        <v>1.15</v>
      </c>
      <c r="F988" s="35">
        <v>13.8</v>
      </c>
      <c r="G988" s="36">
        <v>1.0</v>
      </c>
      <c r="H988" s="43">
        <f t="shared" ref="H988:H991" si="279">I988/C988</f>
        <v>1.233333333</v>
      </c>
      <c r="I988" s="43">
        <f t="shared" ref="I988:I991" si="280">F988+G988</f>
        <v>14.8</v>
      </c>
      <c r="J988" s="37"/>
      <c r="K988" s="45">
        <f t="shared" ref="K988:K991" si="281">I988*J988</f>
        <v>0</v>
      </c>
    </row>
    <row r="989" ht="15.0" customHeight="1">
      <c r="A989" s="39" t="s">
        <v>1200</v>
      </c>
      <c r="B989" s="40" t="s">
        <v>1201</v>
      </c>
      <c r="C989" s="41">
        <v>14.0</v>
      </c>
      <c r="D989" s="33">
        <v>3.168930177852E12</v>
      </c>
      <c r="E989" s="42">
        <v>1.2</v>
      </c>
      <c r="F989" s="35">
        <f>E989*C989</f>
        <v>16.8</v>
      </c>
      <c r="G989" s="36">
        <v>1.0</v>
      </c>
      <c r="H989" s="43">
        <f t="shared" si="279"/>
        <v>1.271428571</v>
      </c>
      <c r="I989" s="43">
        <f t="shared" si="280"/>
        <v>17.8</v>
      </c>
      <c r="J989" s="37"/>
      <c r="K989" s="45">
        <f t="shared" si="281"/>
        <v>0</v>
      </c>
    </row>
    <row r="990" ht="15.0" customHeight="1">
      <c r="A990" s="39" t="s">
        <v>1202</v>
      </c>
      <c r="B990" s="40" t="s">
        <v>1201</v>
      </c>
      <c r="C990" s="41">
        <v>15.0</v>
      </c>
      <c r="D990" s="33">
        <v>3.168930178118E12</v>
      </c>
      <c r="E990" s="42">
        <v>1.2</v>
      </c>
      <c r="F990" s="35">
        <v>18.0</v>
      </c>
      <c r="G990" s="36">
        <v>1.0</v>
      </c>
      <c r="H990" s="43">
        <f t="shared" si="279"/>
        <v>1.266666667</v>
      </c>
      <c r="I990" s="43">
        <f t="shared" si="280"/>
        <v>19</v>
      </c>
      <c r="J990" s="37"/>
      <c r="K990" s="45">
        <f t="shared" si="281"/>
        <v>0</v>
      </c>
    </row>
    <row r="991" ht="15.0" customHeight="1">
      <c r="A991" s="39" t="s">
        <v>1203</v>
      </c>
      <c r="B991" s="40" t="s">
        <v>1201</v>
      </c>
      <c r="C991" s="41">
        <v>15.0</v>
      </c>
      <c r="D991" s="33">
        <v>3.168930178149E12</v>
      </c>
      <c r="E991" s="42">
        <v>1.2</v>
      </c>
      <c r="F991" s="35">
        <v>18.0</v>
      </c>
      <c r="G991" s="36">
        <v>1.0</v>
      </c>
      <c r="H991" s="43">
        <f t="shared" si="279"/>
        <v>1.266666667</v>
      </c>
      <c r="I991" s="43">
        <f t="shared" si="280"/>
        <v>19</v>
      </c>
      <c r="J991" s="37"/>
      <c r="K991" s="45">
        <f t="shared" si="281"/>
        <v>0</v>
      </c>
    </row>
    <row r="992" ht="15.0" customHeight="1">
      <c r="A992" s="30" t="s">
        <v>1204</v>
      </c>
      <c r="B992" s="31"/>
      <c r="C992" s="32"/>
      <c r="D992" s="33"/>
      <c r="E992" s="34"/>
      <c r="F992" s="35"/>
      <c r="G992" s="36"/>
      <c r="H992" s="43"/>
      <c r="I992" s="43"/>
      <c r="J992" s="37"/>
      <c r="K992" s="45"/>
    </row>
    <row r="993" ht="15.0" customHeight="1">
      <c r="A993" s="39" t="s">
        <v>1205</v>
      </c>
      <c r="B993" s="40" t="s">
        <v>1206</v>
      </c>
      <c r="C993" s="41">
        <v>10.0</v>
      </c>
      <c r="D993" s="33">
        <v>3.168930173373E12</v>
      </c>
      <c r="E993" s="42">
        <v>1.8</v>
      </c>
      <c r="F993" s="35">
        <v>18.0</v>
      </c>
      <c r="G993" s="36">
        <v>1.0</v>
      </c>
      <c r="H993" s="43">
        <f t="shared" ref="H993:H1003" si="282">I993/C993</f>
        <v>1.9</v>
      </c>
      <c r="I993" s="43">
        <f t="shared" ref="I993:I1003" si="283">F993+G993</f>
        <v>19</v>
      </c>
      <c r="J993" s="37"/>
      <c r="K993" s="45">
        <f t="shared" ref="K993:K1003" si="284">I993*J993</f>
        <v>0</v>
      </c>
    </row>
    <row r="994" ht="15.0" customHeight="1">
      <c r="A994" s="39" t="s">
        <v>1207</v>
      </c>
      <c r="B994" s="40" t="s">
        <v>1206</v>
      </c>
      <c r="C994" s="41">
        <v>10.0</v>
      </c>
      <c r="D994" s="33">
        <v>3.168930173199E12</v>
      </c>
      <c r="E994" s="42">
        <v>1.8</v>
      </c>
      <c r="F994" s="35">
        <v>18.0</v>
      </c>
      <c r="G994" s="36">
        <v>1.0</v>
      </c>
      <c r="H994" s="43">
        <f t="shared" si="282"/>
        <v>1.9</v>
      </c>
      <c r="I994" s="43">
        <f t="shared" si="283"/>
        <v>19</v>
      </c>
      <c r="J994" s="37"/>
      <c r="K994" s="45">
        <f t="shared" si="284"/>
        <v>0</v>
      </c>
    </row>
    <row r="995" ht="15.0" customHeight="1">
      <c r="A995" s="39" t="s">
        <v>1208</v>
      </c>
      <c r="B995" s="40" t="s">
        <v>1206</v>
      </c>
      <c r="C995" s="41">
        <v>10.0</v>
      </c>
      <c r="D995" s="33">
        <v>3.168930173229E12</v>
      </c>
      <c r="E995" s="42">
        <v>1.8</v>
      </c>
      <c r="F995" s="35">
        <v>18.0</v>
      </c>
      <c r="G995" s="36">
        <v>1.0</v>
      </c>
      <c r="H995" s="43">
        <f t="shared" si="282"/>
        <v>1.9</v>
      </c>
      <c r="I995" s="43">
        <f t="shared" si="283"/>
        <v>19</v>
      </c>
      <c r="J995" s="37"/>
      <c r="K995" s="45">
        <f t="shared" si="284"/>
        <v>0</v>
      </c>
    </row>
    <row r="996" ht="15.0" customHeight="1">
      <c r="A996" s="39" t="s">
        <v>1209</v>
      </c>
      <c r="B996" s="40" t="s">
        <v>1206</v>
      </c>
      <c r="C996" s="41">
        <v>10.0</v>
      </c>
      <c r="D996" s="33">
        <v>3.168930173311E12</v>
      </c>
      <c r="E996" s="42">
        <v>1.8</v>
      </c>
      <c r="F996" s="35">
        <v>18.0</v>
      </c>
      <c r="G996" s="36">
        <v>1.0</v>
      </c>
      <c r="H996" s="43">
        <f t="shared" si="282"/>
        <v>1.9</v>
      </c>
      <c r="I996" s="43">
        <f t="shared" si="283"/>
        <v>19</v>
      </c>
      <c r="J996" s="37"/>
      <c r="K996" s="45">
        <f t="shared" si="284"/>
        <v>0</v>
      </c>
    </row>
    <row r="997" ht="15.0" customHeight="1">
      <c r="A997" s="39" t="s">
        <v>1210</v>
      </c>
      <c r="B997" s="40" t="s">
        <v>1206</v>
      </c>
      <c r="C997" s="41">
        <v>10.0</v>
      </c>
      <c r="D997" s="33">
        <v>3.168930173403E12</v>
      </c>
      <c r="E997" s="42">
        <v>1.8</v>
      </c>
      <c r="F997" s="35">
        <v>18.0</v>
      </c>
      <c r="G997" s="36">
        <v>1.0</v>
      </c>
      <c r="H997" s="43">
        <f t="shared" si="282"/>
        <v>1.9</v>
      </c>
      <c r="I997" s="43">
        <f t="shared" si="283"/>
        <v>19</v>
      </c>
      <c r="J997" s="37"/>
      <c r="K997" s="45">
        <f t="shared" si="284"/>
        <v>0</v>
      </c>
    </row>
    <row r="998" ht="15.0" customHeight="1">
      <c r="A998" s="39" t="s">
        <v>1211</v>
      </c>
      <c r="B998" s="40" t="s">
        <v>1206</v>
      </c>
      <c r="C998" s="41">
        <v>10.0</v>
      </c>
      <c r="D998" s="33">
        <v>3.16893017325E12</v>
      </c>
      <c r="E998" s="42">
        <v>1.8</v>
      </c>
      <c r="F998" s="35">
        <v>18.0</v>
      </c>
      <c r="G998" s="36">
        <v>1.0</v>
      </c>
      <c r="H998" s="43">
        <f t="shared" si="282"/>
        <v>1.9</v>
      </c>
      <c r="I998" s="43">
        <f t="shared" si="283"/>
        <v>19</v>
      </c>
      <c r="J998" s="37"/>
      <c r="K998" s="45">
        <f t="shared" si="284"/>
        <v>0</v>
      </c>
    </row>
    <row r="999" ht="15.0" customHeight="1">
      <c r="A999" s="39" t="s">
        <v>1212</v>
      </c>
      <c r="B999" s="40" t="s">
        <v>1213</v>
      </c>
      <c r="C999" s="41">
        <v>6.0</v>
      </c>
      <c r="D999" s="33">
        <v>3.168930166139E12</v>
      </c>
      <c r="E999" s="42">
        <v>2.09</v>
      </c>
      <c r="F999" s="35">
        <v>12.54</v>
      </c>
      <c r="G999" s="36">
        <v>1.0</v>
      </c>
      <c r="H999" s="43">
        <f t="shared" si="282"/>
        <v>2.256666667</v>
      </c>
      <c r="I999" s="43">
        <f t="shared" si="283"/>
        <v>13.54</v>
      </c>
      <c r="J999" s="37"/>
      <c r="K999" s="45">
        <f t="shared" si="284"/>
        <v>0</v>
      </c>
    </row>
    <row r="1000" ht="15.0" customHeight="1">
      <c r="A1000" s="39" t="s">
        <v>1214</v>
      </c>
      <c r="B1000" s="40" t="s">
        <v>1213</v>
      </c>
      <c r="C1000" s="41">
        <v>6.0</v>
      </c>
      <c r="D1000" s="33">
        <v>3.168930166078E12</v>
      </c>
      <c r="E1000" s="42">
        <v>2.09</v>
      </c>
      <c r="F1000" s="35">
        <v>12.54</v>
      </c>
      <c r="G1000" s="36">
        <v>1.0</v>
      </c>
      <c r="H1000" s="43">
        <f t="shared" si="282"/>
        <v>2.256666667</v>
      </c>
      <c r="I1000" s="43">
        <f t="shared" si="283"/>
        <v>13.54</v>
      </c>
      <c r="J1000" s="37"/>
      <c r="K1000" s="45">
        <f t="shared" si="284"/>
        <v>0</v>
      </c>
    </row>
    <row r="1001" ht="15.0" customHeight="1">
      <c r="A1001" s="39" t="s">
        <v>1215</v>
      </c>
      <c r="B1001" s="40" t="s">
        <v>1213</v>
      </c>
      <c r="C1001" s="41">
        <v>6.0</v>
      </c>
      <c r="D1001" s="33">
        <v>3.168930166047E12</v>
      </c>
      <c r="E1001" s="42">
        <v>2.09</v>
      </c>
      <c r="F1001" s="35">
        <v>12.54</v>
      </c>
      <c r="G1001" s="36">
        <v>1.0</v>
      </c>
      <c r="H1001" s="43">
        <f t="shared" si="282"/>
        <v>2.256666667</v>
      </c>
      <c r="I1001" s="43">
        <f t="shared" si="283"/>
        <v>13.54</v>
      </c>
      <c r="J1001" s="37"/>
      <c r="K1001" s="45">
        <f t="shared" si="284"/>
        <v>0</v>
      </c>
    </row>
    <row r="1002" ht="15.0" customHeight="1">
      <c r="A1002" s="39" t="s">
        <v>1216</v>
      </c>
      <c r="B1002" s="40" t="s">
        <v>1213</v>
      </c>
      <c r="C1002" s="41">
        <v>6.0</v>
      </c>
      <c r="D1002" s="33">
        <v>3.168930166108E12</v>
      </c>
      <c r="E1002" s="42">
        <v>2.09</v>
      </c>
      <c r="F1002" s="35">
        <v>12.54</v>
      </c>
      <c r="G1002" s="36">
        <v>1.0</v>
      </c>
      <c r="H1002" s="43">
        <f t="shared" si="282"/>
        <v>2.256666667</v>
      </c>
      <c r="I1002" s="43">
        <f t="shared" si="283"/>
        <v>13.54</v>
      </c>
      <c r="J1002" s="37"/>
      <c r="K1002" s="45">
        <f t="shared" si="284"/>
        <v>0</v>
      </c>
    </row>
    <row r="1003" ht="15.0" customHeight="1">
      <c r="A1003" s="39" t="s">
        <v>1217</v>
      </c>
      <c r="B1003" s="40" t="s">
        <v>1213</v>
      </c>
      <c r="C1003" s="41">
        <v>6.0</v>
      </c>
      <c r="D1003" s="33">
        <v>3.168930171881E12</v>
      </c>
      <c r="E1003" s="42">
        <v>2.09</v>
      </c>
      <c r="F1003" s="35">
        <v>12.54</v>
      </c>
      <c r="G1003" s="36">
        <v>1.0</v>
      </c>
      <c r="H1003" s="43">
        <f t="shared" si="282"/>
        <v>2.256666667</v>
      </c>
      <c r="I1003" s="43">
        <f t="shared" si="283"/>
        <v>13.54</v>
      </c>
      <c r="J1003" s="37"/>
      <c r="K1003" s="45">
        <f t="shared" si="284"/>
        <v>0</v>
      </c>
    </row>
    <row r="1004" ht="15.0" customHeight="1">
      <c r="A1004" s="30" t="s">
        <v>1218</v>
      </c>
      <c r="B1004" s="31"/>
      <c r="C1004" s="32"/>
      <c r="D1004" s="33"/>
      <c r="E1004" s="34"/>
      <c r="F1004" s="35"/>
      <c r="G1004" s="36"/>
      <c r="H1004" s="43"/>
      <c r="I1004" s="43"/>
      <c r="J1004" s="37"/>
      <c r="K1004" s="45"/>
    </row>
    <row r="1005" ht="15.0" customHeight="1">
      <c r="A1005" s="39" t="s">
        <v>1219</v>
      </c>
      <c r="B1005" s="40" t="s">
        <v>1220</v>
      </c>
      <c r="C1005" s="41">
        <v>19.0</v>
      </c>
      <c r="D1005" s="33">
        <v>5.050083943645E12</v>
      </c>
      <c r="E1005" s="42">
        <v>1.99</v>
      </c>
      <c r="F1005" s="35">
        <v>37.81</v>
      </c>
      <c r="G1005" s="36">
        <v>0.5</v>
      </c>
      <c r="H1005" s="43">
        <f t="shared" ref="H1005:H1009" si="285">I1005/C1005</f>
        <v>2.016315789</v>
      </c>
      <c r="I1005" s="43">
        <f t="shared" ref="I1005:I1009" si="286">F1005+G1005</f>
        <v>38.31</v>
      </c>
      <c r="J1005" s="37"/>
      <c r="K1005" s="45">
        <f t="shared" ref="K1005:K1009" si="287">I1005*J1005</f>
        <v>0</v>
      </c>
    </row>
    <row r="1006" ht="15.0" customHeight="1">
      <c r="A1006" s="39" t="s">
        <v>1221</v>
      </c>
      <c r="B1006" s="40" t="s">
        <v>1220</v>
      </c>
      <c r="C1006" s="41">
        <v>19.0</v>
      </c>
      <c r="D1006" s="33">
        <v>5.050083943652E12</v>
      </c>
      <c r="E1006" s="42">
        <v>1.99</v>
      </c>
      <c r="F1006" s="35">
        <v>37.81</v>
      </c>
      <c r="G1006" s="36">
        <v>0.5</v>
      </c>
      <c r="H1006" s="43">
        <f t="shared" si="285"/>
        <v>2.016315789</v>
      </c>
      <c r="I1006" s="43">
        <f t="shared" si="286"/>
        <v>38.31</v>
      </c>
      <c r="J1006" s="37"/>
      <c r="K1006" s="45">
        <f t="shared" si="287"/>
        <v>0</v>
      </c>
    </row>
    <row r="1007" ht="15.0" customHeight="1">
      <c r="A1007" s="39" t="s">
        <v>1222</v>
      </c>
      <c r="B1007" s="40" t="s">
        <v>1220</v>
      </c>
      <c r="C1007" s="41">
        <v>19.0</v>
      </c>
      <c r="D1007" s="33">
        <v>5.053990113118E12</v>
      </c>
      <c r="E1007" s="42">
        <v>1.99</v>
      </c>
      <c r="F1007" s="35">
        <v>37.81</v>
      </c>
      <c r="G1007" s="36">
        <v>0.5</v>
      </c>
      <c r="H1007" s="43">
        <f t="shared" si="285"/>
        <v>2.016315789</v>
      </c>
      <c r="I1007" s="43">
        <f t="shared" si="286"/>
        <v>38.31</v>
      </c>
      <c r="J1007" s="37"/>
      <c r="K1007" s="45">
        <f t="shared" si="287"/>
        <v>0</v>
      </c>
    </row>
    <row r="1008" ht="15.0" customHeight="1">
      <c r="A1008" s="39" t="s">
        <v>1223</v>
      </c>
      <c r="B1008" s="40" t="s">
        <v>1220</v>
      </c>
      <c r="C1008" s="41">
        <v>19.0</v>
      </c>
      <c r="D1008" s="33">
        <v>5.053990164158E12</v>
      </c>
      <c r="E1008" s="42">
        <v>1.99</v>
      </c>
      <c r="F1008" s="35">
        <v>37.81</v>
      </c>
      <c r="G1008" s="36">
        <v>0.5</v>
      </c>
      <c r="H1008" s="43">
        <f t="shared" si="285"/>
        <v>2.016315789</v>
      </c>
      <c r="I1008" s="43">
        <f t="shared" si="286"/>
        <v>38.31</v>
      </c>
      <c r="J1008" s="37"/>
      <c r="K1008" s="45">
        <f t="shared" si="287"/>
        <v>0</v>
      </c>
    </row>
    <row r="1009" ht="15.0" customHeight="1">
      <c r="A1009" s="39" t="s">
        <v>1224</v>
      </c>
      <c r="B1009" s="40" t="s">
        <v>1220</v>
      </c>
      <c r="C1009" s="41">
        <v>19.0</v>
      </c>
      <c r="D1009" s="33">
        <v>5.053990155941E12</v>
      </c>
      <c r="E1009" s="42">
        <v>1.99</v>
      </c>
      <c r="F1009" s="35">
        <v>37.81</v>
      </c>
      <c r="G1009" s="36">
        <v>0.5</v>
      </c>
      <c r="H1009" s="43">
        <f t="shared" si="285"/>
        <v>2.016315789</v>
      </c>
      <c r="I1009" s="43">
        <f t="shared" si="286"/>
        <v>38.31</v>
      </c>
      <c r="J1009" s="37"/>
      <c r="K1009" s="45">
        <f t="shared" si="287"/>
        <v>0</v>
      </c>
    </row>
    <row r="1010" ht="15.0" customHeight="1">
      <c r="A1010" s="30" t="s">
        <v>1225</v>
      </c>
      <c r="B1010" s="31"/>
      <c r="C1010" s="32"/>
      <c r="D1010" s="33"/>
      <c r="E1010" s="34"/>
      <c r="F1010" s="35"/>
      <c r="G1010" s="36"/>
      <c r="H1010" s="43"/>
      <c r="I1010" s="43"/>
      <c r="J1010" s="37"/>
      <c r="K1010" s="45"/>
    </row>
    <row r="1011" ht="15.0" customHeight="1">
      <c r="A1011" s="39" t="s">
        <v>1226</v>
      </c>
      <c r="B1011" s="40" t="s">
        <v>1227</v>
      </c>
      <c r="C1011" s="41">
        <v>12.0</v>
      </c>
      <c r="D1011" s="33">
        <v>5.949040201105E12</v>
      </c>
      <c r="E1011" s="42">
        <v>1.65</v>
      </c>
      <c r="F1011" s="35">
        <v>19.8</v>
      </c>
      <c r="G1011" s="36">
        <v>1.0</v>
      </c>
      <c r="H1011" s="43">
        <f t="shared" ref="H1011:H1015" si="288">I1011/C1011</f>
        <v>1.733333333</v>
      </c>
      <c r="I1011" s="43">
        <f t="shared" ref="I1011:I1015" si="289">F1011+G1011</f>
        <v>20.8</v>
      </c>
      <c r="J1011" s="37"/>
      <c r="K1011" s="45">
        <f t="shared" ref="K1011:K1015" si="290">I1011*J1011</f>
        <v>0</v>
      </c>
    </row>
    <row r="1012" ht="15.0" customHeight="1">
      <c r="A1012" s="39" t="s">
        <v>1228</v>
      </c>
      <c r="B1012" s="40" t="s">
        <v>1206</v>
      </c>
      <c r="C1012" s="41">
        <v>12.0</v>
      </c>
      <c r="D1012" s="33">
        <v>5.949040202072E12</v>
      </c>
      <c r="E1012" s="42">
        <v>1.65</v>
      </c>
      <c r="F1012" s="35">
        <v>19.8</v>
      </c>
      <c r="G1012" s="36">
        <v>1.0</v>
      </c>
      <c r="H1012" s="43">
        <f t="shared" si="288"/>
        <v>1.733333333</v>
      </c>
      <c r="I1012" s="43">
        <f t="shared" si="289"/>
        <v>20.8</v>
      </c>
      <c r="J1012" s="37"/>
      <c r="K1012" s="45">
        <f t="shared" si="290"/>
        <v>0</v>
      </c>
    </row>
    <row r="1013" ht="15.0" customHeight="1">
      <c r="A1013" s="39" t="s">
        <v>1229</v>
      </c>
      <c r="B1013" s="40" t="s">
        <v>1227</v>
      </c>
      <c r="C1013" s="41">
        <v>12.0</v>
      </c>
      <c r="D1013" s="33">
        <v>5.949040201082E12</v>
      </c>
      <c r="E1013" s="42">
        <v>1.65</v>
      </c>
      <c r="F1013" s="35">
        <v>19.8</v>
      </c>
      <c r="G1013" s="36">
        <v>1.0</v>
      </c>
      <c r="H1013" s="43">
        <f t="shared" si="288"/>
        <v>1.733333333</v>
      </c>
      <c r="I1013" s="43">
        <f t="shared" si="289"/>
        <v>20.8</v>
      </c>
      <c r="J1013" s="37"/>
      <c r="K1013" s="45">
        <f t="shared" si="290"/>
        <v>0</v>
      </c>
    </row>
    <row r="1014" ht="15.0" customHeight="1">
      <c r="A1014" s="39" t="s">
        <v>1230</v>
      </c>
      <c r="B1014" s="40" t="s">
        <v>1206</v>
      </c>
      <c r="C1014" s="41">
        <v>15.0</v>
      </c>
      <c r="D1014" s="33">
        <v>5.949040203505E12</v>
      </c>
      <c r="E1014" s="42">
        <v>1.65</v>
      </c>
      <c r="F1014" s="35">
        <v>24.75</v>
      </c>
      <c r="G1014" s="36">
        <v>1.0</v>
      </c>
      <c r="H1014" s="43">
        <f t="shared" si="288"/>
        <v>1.716666667</v>
      </c>
      <c r="I1014" s="43">
        <f t="shared" si="289"/>
        <v>25.75</v>
      </c>
      <c r="J1014" s="37"/>
      <c r="K1014" s="45">
        <f t="shared" si="290"/>
        <v>0</v>
      </c>
    </row>
    <row r="1015" ht="15.0" customHeight="1">
      <c r="A1015" s="39" t="s">
        <v>1231</v>
      </c>
      <c r="B1015" s="40" t="s">
        <v>1130</v>
      </c>
      <c r="C1015" s="41">
        <v>12.0</v>
      </c>
      <c r="D1015" s="33">
        <v>5.949040203567E12</v>
      </c>
      <c r="E1015" s="42">
        <v>1.5</v>
      </c>
      <c r="F1015" s="35">
        <f>E1015*C1015</f>
        <v>18</v>
      </c>
      <c r="G1015" s="36">
        <v>1.0</v>
      </c>
      <c r="H1015" s="43">
        <f t="shared" si="288"/>
        <v>1.583333333</v>
      </c>
      <c r="I1015" s="43">
        <f t="shared" si="289"/>
        <v>19</v>
      </c>
      <c r="J1015" s="37"/>
      <c r="K1015" s="45">
        <f t="shared" si="290"/>
        <v>0</v>
      </c>
    </row>
    <row r="1016" ht="15.0" customHeight="1">
      <c r="A1016" s="39"/>
      <c r="B1016" s="31"/>
      <c r="C1016" s="32"/>
      <c r="D1016" s="33"/>
      <c r="E1016" s="34"/>
      <c r="F1016" s="35"/>
      <c r="G1016" s="36"/>
      <c r="H1016" s="43"/>
      <c r="I1016" s="43"/>
      <c r="J1016" s="37"/>
      <c r="K1016" s="45"/>
    </row>
    <row r="1017" ht="15.0" customHeight="1">
      <c r="A1017" s="30" t="s">
        <v>1232</v>
      </c>
      <c r="B1017" s="31"/>
      <c r="C1017" s="32"/>
      <c r="D1017" s="33"/>
      <c r="E1017" s="34"/>
      <c r="F1017" s="35"/>
      <c r="G1017" s="36"/>
      <c r="H1017" s="43"/>
      <c r="I1017" s="43"/>
      <c r="J1017" s="37"/>
      <c r="K1017" s="45"/>
    </row>
    <row r="1018" ht="15.0" customHeight="1">
      <c r="A1018" s="39" t="s">
        <v>1233</v>
      </c>
      <c r="B1018" s="40" t="s">
        <v>1234</v>
      </c>
      <c r="C1018" s="41">
        <v>30.0</v>
      </c>
      <c r="D1018" s="33">
        <v>8.852018101017E12</v>
      </c>
      <c r="E1018" s="42">
        <v>0.5</v>
      </c>
      <c r="F1018" s="35">
        <v>15.0</v>
      </c>
      <c r="G1018" s="36">
        <v>1.0</v>
      </c>
      <c r="H1018" s="43">
        <f t="shared" ref="H1018:H1033" si="291">I1018/C1018</f>
        <v>0.5333333333</v>
      </c>
      <c r="I1018" s="43">
        <f t="shared" ref="I1018:I1033" si="292">F1018+G1018</f>
        <v>16</v>
      </c>
      <c r="J1018" s="37"/>
      <c r="K1018" s="45">
        <f t="shared" ref="K1018:K1033" si="293">I1018*J1018</f>
        <v>0</v>
      </c>
    </row>
    <row r="1019" ht="15.0" customHeight="1">
      <c r="A1019" s="39" t="s">
        <v>1235</v>
      </c>
      <c r="B1019" s="40" t="s">
        <v>1234</v>
      </c>
      <c r="C1019" s="41">
        <v>30.0</v>
      </c>
      <c r="D1019" s="33">
        <v>8.852018101031E12</v>
      </c>
      <c r="E1019" s="42">
        <v>0.5</v>
      </c>
      <c r="F1019" s="35">
        <v>15.0</v>
      </c>
      <c r="G1019" s="36">
        <v>1.0</v>
      </c>
      <c r="H1019" s="43">
        <f t="shared" si="291"/>
        <v>0.5333333333</v>
      </c>
      <c r="I1019" s="43">
        <f t="shared" si="292"/>
        <v>16</v>
      </c>
      <c r="J1019" s="37"/>
      <c r="K1019" s="45">
        <f t="shared" si="293"/>
        <v>0</v>
      </c>
    </row>
    <row r="1020" ht="15.0" customHeight="1">
      <c r="A1020" s="39" t="s">
        <v>1236</v>
      </c>
      <c r="B1020" s="40" t="s">
        <v>1234</v>
      </c>
      <c r="C1020" s="41">
        <v>30.0</v>
      </c>
      <c r="D1020" s="33">
        <v>8.852018101055E12</v>
      </c>
      <c r="E1020" s="42">
        <v>0.5</v>
      </c>
      <c r="F1020" s="35">
        <v>15.0</v>
      </c>
      <c r="G1020" s="36">
        <v>1.0</v>
      </c>
      <c r="H1020" s="43">
        <f t="shared" si="291"/>
        <v>0.5333333333</v>
      </c>
      <c r="I1020" s="43">
        <f t="shared" si="292"/>
        <v>16</v>
      </c>
      <c r="J1020" s="37"/>
      <c r="K1020" s="45">
        <f t="shared" si="293"/>
        <v>0</v>
      </c>
    </row>
    <row r="1021" ht="15.0" customHeight="1">
      <c r="A1021" s="39" t="s">
        <v>1237</v>
      </c>
      <c r="B1021" s="40" t="s">
        <v>1234</v>
      </c>
      <c r="C1021" s="41">
        <v>30.0</v>
      </c>
      <c r="D1021" s="33">
        <v>8.852018101079E12</v>
      </c>
      <c r="E1021" s="42">
        <v>0.5</v>
      </c>
      <c r="F1021" s="35">
        <v>15.0</v>
      </c>
      <c r="G1021" s="36">
        <v>1.0</v>
      </c>
      <c r="H1021" s="43">
        <f t="shared" si="291"/>
        <v>0.5333333333</v>
      </c>
      <c r="I1021" s="43">
        <f t="shared" si="292"/>
        <v>16</v>
      </c>
      <c r="J1021" s="37"/>
      <c r="K1021" s="45">
        <f t="shared" si="293"/>
        <v>0</v>
      </c>
    </row>
    <row r="1022" ht="15.0" customHeight="1">
      <c r="A1022" s="39" t="s">
        <v>1238</v>
      </c>
      <c r="B1022" s="40" t="s">
        <v>1234</v>
      </c>
      <c r="C1022" s="41">
        <v>30.0</v>
      </c>
      <c r="D1022" s="33">
        <v>8.852018101062E12</v>
      </c>
      <c r="E1022" s="42">
        <v>0.5</v>
      </c>
      <c r="F1022" s="35">
        <v>15.0</v>
      </c>
      <c r="G1022" s="36">
        <v>1.0</v>
      </c>
      <c r="H1022" s="43">
        <f t="shared" si="291"/>
        <v>0.5333333333</v>
      </c>
      <c r="I1022" s="43">
        <f t="shared" si="292"/>
        <v>16</v>
      </c>
      <c r="J1022" s="37"/>
      <c r="K1022" s="45">
        <f t="shared" si="293"/>
        <v>0</v>
      </c>
    </row>
    <row r="1023" ht="15.0" customHeight="1">
      <c r="A1023" s="39" t="s">
        <v>1239</v>
      </c>
      <c r="B1023" s="40" t="s">
        <v>1234</v>
      </c>
      <c r="C1023" s="41">
        <v>30.0</v>
      </c>
      <c r="D1023" s="33">
        <v>8.852018101024E12</v>
      </c>
      <c r="E1023" s="42">
        <v>0.5</v>
      </c>
      <c r="F1023" s="35">
        <v>15.0</v>
      </c>
      <c r="G1023" s="36">
        <v>1.0</v>
      </c>
      <c r="H1023" s="43">
        <f t="shared" si="291"/>
        <v>0.5333333333</v>
      </c>
      <c r="I1023" s="43">
        <f t="shared" si="292"/>
        <v>16</v>
      </c>
      <c r="J1023" s="37"/>
      <c r="K1023" s="45">
        <f t="shared" si="293"/>
        <v>0</v>
      </c>
    </row>
    <row r="1024" ht="15.0" customHeight="1">
      <c r="A1024" s="39" t="s">
        <v>1240</v>
      </c>
      <c r="B1024" s="40" t="s">
        <v>1234</v>
      </c>
      <c r="C1024" s="41">
        <v>30.0</v>
      </c>
      <c r="D1024" s="33">
        <v>8.852018101154E12</v>
      </c>
      <c r="E1024" s="42">
        <v>0.5</v>
      </c>
      <c r="F1024" s="35">
        <v>15.0</v>
      </c>
      <c r="G1024" s="36">
        <v>1.0</v>
      </c>
      <c r="H1024" s="43">
        <f t="shared" si="291"/>
        <v>0.5333333333</v>
      </c>
      <c r="I1024" s="43">
        <f t="shared" si="292"/>
        <v>16</v>
      </c>
      <c r="J1024" s="37"/>
      <c r="K1024" s="45">
        <f t="shared" si="293"/>
        <v>0</v>
      </c>
    </row>
    <row r="1025" ht="15.0" customHeight="1">
      <c r="A1025" s="39" t="s">
        <v>1241</v>
      </c>
      <c r="B1025" s="40" t="s">
        <v>1242</v>
      </c>
      <c r="C1025" s="41">
        <v>30.0</v>
      </c>
      <c r="D1025" s="33">
        <v>8.852018101147E12</v>
      </c>
      <c r="E1025" s="42">
        <v>0.55</v>
      </c>
      <c r="F1025" s="35">
        <v>16.5</v>
      </c>
      <c r="G1025" s="36">
        <v>1.0</v>
      </c>
      <c r="H1025" s="43">
        <f t="shared" si="291"/>
        <v>0.5833333333</v>
      </c>
      <c r="I1025" s="43">
        <f t="shared" si="292"/>
        <v>17.5</v>
      </c>
      <c r="J1025" s="37"/>
      <c r="K1025" s="45">
        <f t="shared" si="293"/>
        <v>0</v>
      </c>
    </row>
    <row r="1026" ht="15.0" customHeight="1">
      <c r="A1026" s="39" t="s">
        <v>1243</v>
      </c>
      <c r="B1026" s="40" t="s">
        <v>1175</v>
      </c>
      <c r="C1026" s="41">
        <v>20.0</v>
      </c>
      <c r="D1026" s="33">
        <v>8.852018800019E12</v>
      </c>
      <c r="E1026" s="42">
        <v>1.0</v>
      </c>
      <c r="F1026" s="35">
        <v>20.0</v>
      </c>
      <c r="G1026" s="36">
        <v>1.0</v>
      </c>
      <c r="H1026" s="43">
        <f t="shared" si="291"/>
        <v>1.05</v>
      </c>
      <c r="I1026" s="43">
        <f t="shared" si="292"/>
        <v>21</v>
      </c>
      <c r="J1026" s="37"/>
      <c r="K1026" s="45">
        <f t="shared" si="293"/>
        <v>0</v>
      </c>
    </row>
    <row r="1027" ht="15.0" customHeight="1">
      <c r="A1027" s="39" t="s">
        <v>1244</v>
      </c>
      <c r="B1027" s="40" t="s">
        <v>1175</v>
      </c>
      <c r="C1027" s="41">
        <v>20.0</v>
      </c>
      <c r="D1027" s="33">
        <v>8.852018800026E12</v>
      </c>
      <c r="E1027" s="42">
        <v>1.0</v>
      </c>
      <c r="F1027" s="35">
        <v>20.0</v>
      </c>
      <c r="G1027" s="36">
        <v>1.0</v>
      </c>
      <c r="H1027" s="43">
        <f t="shared" si="291"/>
        <v>1.05</v>
      </c>
      <c r="I1027" s="43">
        <f t="shared" si="292"/>
        <v>21</v>
      </c>
      <c r="J1027" s="37"/>
      <c r="K1027" s="45">
        <f t="shared" si="293"/>
        <v>0</v>
      </c>
    </row>
    <row r="1028" ht="15.0" customHeight="1">
      <c r="A1028" s="39" t="s">
        <v>1245</v>
      </c>
      <c r="B1028" s="40" t="s">
        <v>1175</v>
      </c>
      <c r="C1028" s="41">
        <v>20.0</v>
      </c>
      <c r="D1028" s="33">
        <v>8.852018800033E12</v>
      </c>
      <c r="E1028" s="42">
        <v>1.0</v>
      </c>
      <c r="F1028" s="35">
        <v>20.0</v>
      </c>
      <c r="G1028" s="36">
        <v>1.0</v>
      </c>
      <c r="H1028" s="43">
        <f t="shared" si="291"/>
        <v>1.05</v>
      </c>
      <c r="I1028" s="43">
        <f t="shared" si="292"/>
        <v>21</v>
      </c>
      <c r="J1028" s="37"/>
      <c r="K1028" s="45">
        <f t="shared" si="293"/>
        <v>0</v>
      </c>
    </row>
    <row r="1029" ht="15.0" customHeight="1">
      <c r="A1029" s="39" t="s">
        <v>1246</v>
      </c>
      <c r="B1029" s="40" t="s">
        <v>1242</v>
      </c>
      <c r="C1029" s="41">
        <v>12.0</v>
      </c>
      <c r="D1029" s="33">
        <v>8.852018201014E12</v>
      </c>
      <c r="E1029" s="42">
        <v>1.2</v>
      </c>
      <c r="F1029" s="35">
        <v>14.4</v>
      </c>
      <c r="G1029" s="36">
        <v>1.0</v>
      </c>
      <c r="H1029" s="43">
        <f t="shared" si="291"/>
        <v>1.283333333</v>
      </c>
      <c r="I1029" s="43">
        <f t="shared" si="292"/>
        <v>15.4</v>
      </c>
      <c r="J1029" s="37"/>
      <c r="K1029" s="45">
        <f t="shared" si="293"/>
        <v>0</v>
      </c>
    </row>
    <row r="1030" ht="15.0" customHeight="1">
      <c r="A1030" s="39" t="s">
        <v>1247</v>
      </c>
      <c r="B1030" s="40" t="s">
        <v>1242</v>
      </c>
      <c r="C1030" s="41">
        <v>12.0</v>
      </c>
      <c r="D1030" s="33">
        <v>8.852018201144E12</v>
      </c>
      <c r="E1030" s="42">
        <v>1.2</v>
      </c>
      <c r="F1030" s="35">
        <v>14.4</v>
      </c>
      <c r="G1030" s="36">
        <v>1.0</v>
      </c>
      <c r="H1030" s="43">
        <f t="shared" si="291"/>
        <v>1.283333333</v>
      </c>
      <c r="I1030" s="43">
        <f t="shared" si="292"/>
        <v>15.4</v>
      </c>
      <c r="J1030" s="37"/>
      <c r="K1030" s="45">
        <f t="shared" si="293"/>
        <v>0</v>
      </c>
    </row>
    <row r="1031" ht="15.0" customHeight="1">
      <c r="A1031" s="39" t="s">
        <v>1248</v>
      </c>
      <c r="B1031" s="40" t="s">
        <v>1242</v>
      </c>
      <c r="C1031" s="41">
        <v>12.0</v>
      </c>
      <c r="D1031" s="33">
        <v>8.852018201045E12</v>
      </c>
      <c r="E1031" s="42">
        <v>1.2</v>
      </c>
      <c r="F1031" s="35">
        <v>14.4</v>
      </c>
      <c r="G1031" s="36">
        <v>1.0</v>
      </c>
      <c r="H1031" s="43">
        <f t="shared" si="291"/>
        <v>1.283333333</v>
      </c>
      <c r="I1031" s="43">
        <f t="shared" si="292"/>
        <v>15.4</v>
      </c>
      <c r="J1031" s="37"/>
      <c r="K1031" s="45">
        <f t="shared" si="293"/>
        <v>0</v>
      </c>
    </row>
    <row r="1032" ht="15.0" customHeight="1">
      <c r="A1032" s="39" t="s">
        <v>1249</v>
      </c>
      <c r="B1032" s="40" t="s">
        <v>1242</v>
      </c>
      <c r="C1032" s="41">
        <v>12.0</v>
      </c>
      <c r="D1032" s="33">
        <v>8.852018201021E12</v>
      </c>
      <c r="E1032" s="42">
        <v>1.2</v>
      </c>
      <c r="F1032" s="35">
        <v>14.4</v>
      </c>
      <c r="G1032" s="36">
        <v>1.0</v>
      </c>
      <c r="H1032" s="43">
        <f t="shared" si="291"/>
        <v>1.283333333</v>
      </c>
      <c r="I1032" s="43">
        <f t="shared" si="292"/>
        <v>15.4</v>
      </c>
      <c r="J1032" s="37"/>
      <c r="K1032" s="45">
        <f t="shared" si="293"/>
        <v>0</v>
      </c>
    </row>
    <row r="1033" ht="15.0" customHeight="1">
      <c r="A1033" s="39" t="s">
        <v>1250</v>
      </c>
      <c r="B1033" s="40" t="s">
        <v>1242</v>
      </c>
      <c r="C1033" s="41">
        <v>12.0</v>
      </c>
      <c r="D1033" s="33">
        <v>8.852018201069E12</v>
      </c>
      <c r="E1033" s="42">
        <v>1.2</v>
      </c>
      <c r="F1033" s="35">
        <v>14.4</v>
      </c>
      <c r="G1033" s="36">
        <v>1.0</v>
      </c>
      <c r="H1033" s="43">
        <f t="shared" si="291"/>
        <v>1.283333333</v>
      </c>
      <c r="I1033" s="43">
        <f t="shared" si="292"/>
        <v>15.4</v>
      </c>
      <c r="J1033" s="37"/>
      <c r="K1033" s="45">
        <f t="shared" si="293"/>
        <v>0</v>
      </c>
    </row>
    <row r="1034" ht="15.0" customHeight="1">
      <c r="A1034" s="30" t="s">
        <v>1251</v>
      </c>
      <c r="B1034" s="31"/>
      <c r="C1034" s="32"/>
      <c r="D1034" s="33"/>
      <c r="E1034" s="34"/>
      <c r="F1034" s="35"/>
      <c r="G1034" s="36"/>
      <c r="H1034" s="43"/>
      <c r="I1034" s="43"/>
      <c r="J1034" s="37"/>
      <c r="K1034" s="45"/>
    </row>
    <row r="1035" ht="15.0" customHeight="1">
      <c r="A1035" s="30" t="s">
        <v>1252</v>
      </c>
      <c r="B1035" s="40"/>
      <c r="C1035" s="41"/>
      <c r="D1035" s="33"/>
      <c r="E1035" s="34"/>
      <c r="F1035" s="35"/>
      <c r="G1035" s="36"/>
      <c r="H1035" s="43"/>
      <c r="I1035" s="43"/>
      <c r="J1035" s="37"/>
      <c r="K1035" s="45"/>
    </row>
    <row r="1036" ht="15.0" customHeight="1">
      <c r="A1036" s="39" t="s">
        <v>1253</v>
      </c>
      <c r="B1036" s="40" t="s">
        <v>1254</v>
      </c>
      <c r="C1036" s="41">
        <v>40.0</v>
      </c>
      <c r="D1036" s="33">
        <v>8.801073141858E12</v>
      </c>
      <c r="E1036" s="42">
        <v>1.45</v>
      </c>
      <c r="F1036" s="35">
        <v>58.0</v>
      </c>
      <c r="G1036" s="36">
        <v>1.0</v>
      </c>
      <c r="H1036" s="43">
        <f t="shared" ref="H1036:H1041" si="294">I1036/C1036</f>
        <v>1.475</v>
      </c>
      <c r="I1036" s="43">
        <f t="shared" ref="I1036:I1041" si="295">F1036+G1036</f>
        <v>59</v>
      </c>
      <c r="J1036" s="37"/>
      <c r="K1036" s="45">
        <f t="shared" ref="K1036:K1041" si="296">I1036*J1036</f>
        <v>0</v>
      </c>
    </row>
    <row r="1037" ht="15.0" customHeight="1">
      <c r="A1037" s="39" t="s">
        <v>1255</v>
      </c>
      <c r="B1037" s="40" t="s">
        <v>1178</v>
      </c>
      <c r="C1037" s="41">
        <v>40.0</v>
      </c>
      <c r="D1037" s="33">
        <v>8.801073144484E12</v>
      </c>
      <c r="E1037" s="42">
        <v>1.45</v>
      </c>
      <c r="F1037" s="35">
        <v>58.0</v>
      </c>
      <c r="G1037" s="36">
        <v>1.0</v>
      </c>
      <c r="H1037" s="43">
        <f t="shared" si="294"/>
        <v>1.475</v>
      </c>
      <c r="I1037" s="43">
        <f t="shared" si="295"/>
        <v>59</v>
      </c>
      <c r="J1037" s="37"/>
      <c r="K1037" s="45">
        <f t="shared" si="296"/>
        <v>0</v>
      </c>
    </row>
    <row r="1038" ht="15.0" customHeight="1">
      <c r="A1038" s="39" t="s">
        <v>1256</v>
      </c>
      <c r="B1038" s="40" t="s">
        <v>1257</v>
      </c>
      <c r="C1038" s="41">
        <v>40.0</v>
      </c>
      <c r="D1038" s="33">
        <v>8.801073144491E12</v>
      </c>
      <c r="E1038" s="42">
        <v>1.45</v>
      </c>
      <c r="F1038" s="35">
        <v>58.0</v>
      </c>
      <c r="G1038" s="36">
        <v>1.0</v>
      </c>
      <c r="H1038" s="43">
        <f t="shared" si="294"/>
        <v>1.475</v>
      </c>
      <c r="I1038" s="43">
        <f t="shared" si="295"/>
        <v>59</v>
      </c>
      <c r="J1038" s="37"/>
      <c r="K1038" s="45">
        <f t="shared" si="296"/>
        <v>0</v>
      </c>
    </row>
    <row r="1039" ht="15.0" customHeight="1">
      <c r="A1039" s="39" t="s">
        <v>1258</v>
      </c>
      <c r="B1039" s="40" t="s">
        <v>1257</v>
      </c>
      <c r="C1039" s="41">
        <v>40.0</v>
      </c>
      <c r="D1039" s="33">
        <v>8.801073140578E12</v>
      </c>
      <c r="E1039" s="42">
        <v>1.45</v>
      </c>
      <c r="F1039" s="35">
        <v>58.0</v>
      </c>
      <c r="G1039" s="36">
        <v>1.0</v>
      </c>
      <c r="H1039" s="43">
        <f t="shared" si="294"/>
        <v>1.475</v>
      </c>
      <c r="I1039" s="43">
        <f t="shared" si="295"/>
        <v>59</v>
      </c>
      <c r="J1039" s="37"/>
      <c r="K1039" s="45">
        <f t="shared" si="296"/>
        <v>0</v>
      </c>
    </row>
    <row r="1040" ht="15.0" customHeight="1">
      <c r="A1040" s="48" t="s">
        <v>1259</v>
      </c>
      <c r="B1040" s="40" t="s">
        <v>1257</v>
      </c>
      <c r="C1040" s="41">
        <v>40.0</v>
      </c>
      <c r="D1040" s="33">
        <v>8.801073141896E12</v>
      </c>
      <c r="E1040" s="42">
        <v>1.45</v>
      </c>
      <c r="F1040" s="35">
        <v>58.0</v>
      </c>
      <c r="G1040" s="36">
        <v>1.0</v>
      </c>
      <c r="H1040" s="43">
        <f t="shared" si="294"/>
        <v>1.475</v>
      </c>
      <c r="I1040" s="43">
        <f t="shared" si="295"/>
        <v>59</v>
      </c>
      <c r="J1040" s="37"/>
      <c r="K1040" s="45">
        <f t="shared" si="296"/>
        <v>0</v>
      </c>
    </row>
    <row r="1041" ht="15.0" customHeight="1">
      <c r="A1041" s="53" t="s">
        <v>1260</v>
      </c>
      <c r="B1041" s="40" t="s">
        <v>1257</v>
      </c>
      <c r="C1041" s="100" t="s">
        <v>1261</v>
      </c>
      <c r="D1041" s="153">
        <v>8.801073143777E12</v>
      </c>
      <c r="E1041" s="42">
        <v>1.45</v>
      </c>
      <c r="F1041" s="35">
        <v>58.0</v>
      </c>
      <c r="G1041" s="36">
        <v>1.0</v>
      </c>
      <c r="H1041" s="43">
        <f t="shared" si="294"/>
        <v>1.475</v>
      </c>
      <c r="I1041" s="43">
        <f t="shared" si="295"/>
        <v>59</v>
      </c>
      <c r="J1041" s="37"/>
      <c r="K1041" s="45">
        <f t="shared" si="296"/>
        <v>0</v>
      </c>
    </row>
    <row r="1042" ht="15.0" customHeight="1">
      <c r="A1042" s="154" t="s">
        <v>1262</v>
      </c>
      <c r="B1042" s="61"/>
      <c r="C1042" s="155"/>
      <c r="D1042" s="156"/>
      <c r="E1042" s="34"/>
      <c r="F1042" s="157"/>
      <c r="G1042" s="36"/>
      <c r="H1042" s="43"/>
      <c r="I1042" s="43"/>
      <c r="J1042" s="38"/>
      <c r="K1042" s="45"/>
    </row>
    <row r="1043" ht="15.0" customHeight="1">
      <c r="A1043" s="53" t="s">
        <v>1263</v>
      </c>
      <c r="B1043" s="40" t="s">
        <v>1199</v>
      </c>
      <c r="C1043" s="100" t="s">
        <v>1264</v>
      </c>
      <c r="D1043" s="90">
        <v>8.801073211667E12</v>
      </c>
      <c r="E1043" s="56">
        <v>1.65</v>
      </c>
      <c r="F1043" s="58">
        <f t="shared" ref="F1043:F1045" si="297">E1043*C1043</f>
        <v>9.9</v>
      </c>
      <c r="G1043" s="36">
        <v>1.0</v>
      </c>
      <c r="H1043" s="43">
        <f t="shared" ref="H1043:H1045" si="298">I1043/C1043</f>
        <v>1.816666667</v>
      </c>
      <c r="I1043" s="43">
        <f t="shared" ref="I1043:I1045" si="299">F1043+G1043</f>
        <v>10.9</v>
      </c>
      <c r="J1043" s="38"/>
      <c r="K1043" s="45">
        <f t="shared" ref="K1043:K1045" si="300">I1043*J1043</f>
        <v>0</v>
      </c>
    </row>
    <row r="1044" ht="15.0" customHeight="1">
      <c r="A1044" s="53" t="s">
        <v>1265</v>
      </c>
      <c r="B1044" s="40" t="s">
        <v>1242</v>
      </c>
      <c r="C1044" s="100" t="s">
        <v>1264</v>
      </c>
      <c r="D1044" s="158">
        <v>8.801073210776E12</v>
      </c>
      <c r="E1044" s="56">
        <v>1.65</v>
      </c>
      <c r="F1044" s="58">
        <f t="shared" si="297"/>
        <v>9.9</v>
      </c>
      <c r="G1044" s="36">
        <v>1.0</v>
      </c>
      <c r="H1044" s="43">
        <f t="shared" si="298"/>
        <v>1.816666667</v>
      </c>
      <c r="I1044" s="43">
        <f t="shared" si="299"/>
        <v>10.9</v>
      </c>
      <c r="J1044" s="38"/>
      <c r="K1044" s="45">
        <f t="shared" si="300"/>
        <v>0</v>
      </c>
    </row>
    <row r="1045" ht="15.0" customHeight="1">
      <c r="A1045" s="53" t="s">
        <v>1266</v>
      </c>
      <c r="B1045" s="40" t="s">
        <v>1242</v>
      </c>
      <c r="C1045" s="100" t="s">
        <v>1264</v>
      </c>
      <c r="D1045" s="90">
        <v>8.801073211254E12</v>
      </c>
      <c r="E1045" s="56">
        <v>1.65</v>
      </c>
      <c r="F1045" s="58">
        <f t="shared" si="297"/>
        <v>9.9</v>
      </c>
      <c r="G1045" s="36">
        <v>1.0</v>
      </c>
      <c r="H1045" s="43">
        <f t="shared" si="298"/>
        <v>1.816666667</v>
      </c>
      <c r="I1045" s="43">
        <f t="shared" si="299"/>
        <v>10.9</v>
      </c>
      <c r="J1045" s="38"/>
      <c r="K1045" s="45">
        <f t="shared" si="300"/>
        <v>0</v>
      </c>
    </row>
    <row r="1046" ht="15.0" customHeight="1">
      <c r="A1046" s="154" t="s">
        <v>1267</v>
      </c>
      <c r="B1046" s="40"/>
      <c r="C1046" s="100"/>
      <c r="D1046" s="90"/>
      <c r="E1046" s="34"/>
      <c r="F1046" s="58"/>
      <c r="G1046" s="36"/>
      <c r="H1046" s="43"/>
      <c r="I1046" s="43"/>
      <c r="J1046" s="38"/>
      <c r="K1046" s="45"/>
    </row>
    <row r="1047" ht="15.0" customHeight="1">
      <c r="A1047" s="53" t="s">
        <v>1268</v>
      </c>
      <c r="B1047" s="40" t="s">
        <v>1269</v>
      </c>
      <c r="C1047" s="100" t="s">
        <v>1270</v>
      </c>
      <c r="D1047" s="90">
        <v>8.801073211063E12</v>
      </c>
      <c r="E1047" s="56">
        <v>1.9</v>
      </c>
      <c r="F1047" s="58">
        <f t="shared" ref="F1047:F1049" si="301">E1047*C1047</f>
        <v>30.4</v>
      </c>
      <c r="G1047" s="36">
        <v>1.0</v>
      </c>
      <c r="H1047" s="43">
        <f t="shared" ref="H1047:H1049" si="302">I1047/C1047</f>
        <v>1.9625</v>
      </c>
      <c r="I1047" s="43">
        <f t="shared" ref="I1047:I1049" si="303">F1047+G1047</f>
        <v>31.4</v>
      </c>
      <c r="J1047" s="38"/>
      <c r="K1047" s="45">
        <f t="shared" ref="K1047:K1049" si="304">I1047*J1047</f>
        <v>0</v>
      </c>
    </row>
    <row r="1048" ht="15.0" customHeight="1">
      <c r="A1048" s="53" t="s">
        <v>1271</v>
      </c>
      <c r="B1048" s="40" t="s">
        <v>1269</v>
      </c>
      <c r="C1048" s="100" t="s">
        <v>1270</v>
      </c>
      <c r="D1048" s="90">
        <v>8.801073210363E12</v>
      </c>
      <c r="E1048" s="56">
        <v>1.9</v>
      </c>
      <c r="F1048" s="58">
        <f t="shared" si="301"/>
        <v>30.4</v>
      </c>
      <c r="G1048" s="36">
        <v>1.0</v>
      </c>
      <c r="H1048" s="43">
        <f t="shared" si="302"/>
        <v>1.9625</v>
      </c>
      <c r="I1048" s="43">
        <f t="shared" si="303"/>
        <v>31.4</v>
      </c>
      <c r="J1048" s="38"/>
      <c r="K1048" s="45">
        <f t="shared" si="304"/>
        <v>0</v>
      </c>
    </row>
    <row r="1049" ht="15.0" customHeight="1">
      <c r="A1049" s="53" t="s">
        <v>1272</v>
      </c>
      <c r="B1049" s="40" t="s">
        <v>1269</v>
      </c>
      <c r="C1049" s="100" t="s">
        <v>1270</v>
      </c>
      <c r="D1049" s="158">
        <v>8.801073211216E12</v>
      </c>
      <c r="E1049" s="56">
        <v>1.9</v>
      </c>
      <c r="F1049" s="58">
        <f t="shared" si="301"/>
        <v>30.4</v>
      </c>
      <c r="G1049" s="36">
        <v>1.0</v>
      </c>
      <c r="H1049" s="43">
        <f t="shared" si="302"/>
        <v>1.9625</v>
      </c>
      <c r="I1049" s="43">
        <f t="shared" si="303"/>
        <v>31.4</v>
      </c>
      <c r="J1049" s="38"/>
      <c r="K1049" s="45">
        <f t="shared" si="304"/>
        <v>0</v>
      </c>
    </row>
    <row r="1050" ht="15.0" customHeight="1">
      <c r="A1050" s="154" t="s">
        <v>1273</v>
      </c>
      <c r="B1050" s="40"/>
      <c r="C1050" s="100"/>
      <c r="D1050" s="158"/>
      <c r="E1050" s="56"/>
      <c r="F1050" s="58"/>
      <c r="G1050" s="36"/>
      <c r="H1050" s="43"/>
      <c r="I1050" s="43"/>
      <c r="J1050" s="38"/>
      <c r="K1050" s="45"/>
    </row>
    <row r="1051" ht="15.0" customHeight="1">
      <c r="A1051" s="53" t="s">
        <v>1274</v>
      </c>
      <c r="B1051" s="40" t="s">
        <v>1172</v>
      </c>
      <c r="C1051" s="100" t="s">
        <v>304</v>
      </c>
      <c r="D1051" s="158">
        <v>8.801073310735E12</v>
      </c>
      <c r="E1051" s="56">
        <v>1.65</v>
      </c>
      <c r="F1051" s="58">
        <f>E1051*C1051</f>
        <v>39.6</v>
      </c>
      <c r="G1051" s="36">
        <v>1.0</v>
      </c>
      <c r="H1051" s="43">
        <f t="shared" ref="H1051:H1062" si="305">I1051/C1051</f>
        <v>1.691666667</v>
      </c>
      <c r="I1051" s="43">
        <f t="shared" ref="I1051:I1062" si="306">F1051+G1051</f>
        <v>40.6</v>
      </c>
      <c r="J1051" s="38"/>
      <c r="K1051" s="45">
        <f t="shared" ref="K1051:K1062" si="307">I1051*J1051</f>
        <v>0</v>
      </c>
    </row>
    <row r="1052" ht="15.0" customHeight="1">
      <c r="A1052" s="39" t="s">
        <v>1275</v>
      </c>
      <c r="B1052" s="40" t="s">
        <v>1276</v>
      </c>
      <c r="C1052" s="41">
        <v>12.0</v>
      </c>
      <c r="D1052" s="33">
        <v>3.661945390013E12</v>
      </c>
      <c r="E1052" s="42">
        <v>1.35</v>
      </c>
      <c r="F1052" s="35">
        <v>16.2</v>
      </c>
      <c r="G1052" s="36">
        <v>1.0</v>
      </c>
      <c r="H1052" s="43">
        <f t="shared" si="305"/>
        <v>1.433333333</v>
      </c>
      <c r="I1052" s="43">
        <f t="shared" si="306"/>
        <v>17.2</v>
      </c>
      <c r="J1052" s="37"/>
      <c r="K1052" s="45">
        <f t="shared" si="307"/>
        <v>0</v>
      </c>
    </row>
    <row r="1053" ht="15.0" customHeight="1">
      <c r="A1053" s="39" t="s">
        <v>1277</v>
      </c>
      <c r="B1053" s="40" t="s">
        <v>1276</v>
      </c>
      <c r="C1053" s="41">
        <v>12.0</v>
      </c>
      <c r="D1053" s="33">
        <v>3.66194539002E12</v>
      </c>
      <c r="E1053" s="42">
        <v>1.35</v>
      </c>
      <c r="F1053" s="35">
        <v>16.2</v>
      </c>
      <c r="G1053" s="36">
        <v>1.0</v>
      </c>
      <c r="H1053" s="43">
        <f t="shared" si="305"/>
        <v>1.433333333</v>
      </c>
      <c r="I1053" s="43">
        <f t="shared" si="306"/>
        <v>17.2</v>
      </c>
      <c r="J1053" s="37"/>
      <c r="K1053" s="45">
        <f t="shared" si="307"/>
        <v>0</v>
      </c>
    </row>
    <row r="1054" ht="15.0" customHeight="1">
      <c r="A1054" s="39" t="s">
        <v>1278</v>
      </c>
      <c r="B1054" s="40" t="s">
        <v>1257</v>
      </c>
      <c r="C1054" s="41">
        <v>12.0</v>
      </c>
      <c r="D1054" s="33">
        <v>8.809054401526E12</v>
      </c>
      <c r="E1054" s="42">
        <v>2.55</v>
      </c>
      <c r="F1054" s="35">
        <v>30.6</v>
      </c>
      <c r="G1054" s="36">
        <v>2.0</v>
      </c>
      <c r="H1054" s="43">
        <f t="shared" si="305"/>
        <v>2.716666667</v>
      </c>
      <c r="I1054" s="43">
        <f t="shared" si="306"/>
        <v>32.6</v>
      </c>
      <c r="J1054" s="37"/>
      <c r="K1054" s="45">
        <f t="shared" si="307"/>
        <v>0</v>
      </c>
    </row>
    <row r="1055" ht="15.0" customHeight="1">
      <c r="A1055" s="39" t="s">
        <v>1279</v>
      </c>
      <c r="B1055" s="40" t="s">
        <v>1257</v>
      </c>
      <c r="C1055" s="41">
        <v>12.0</v>
      </c>
      <c r="D1055" s="33">
        <v>8.809054409034E12</v>
      </c>
      <c r="E1055" s="42">
        <v>2.55</v>
      </c>
      <c r="F1055" s="35">
        <v>30.6</v>
      </c>
      <c r="G1055" s="36">
        <v>2.0</v>
      </c>
      <c r="H1055" s="43">
        <f t="shared" si="305"/>
        <v>2.716666667</v>
      </c>
      <c r="I1055" s="43">
        <f t="shared" si="306"/>
        <v>32.6</v>
      </c>
      <c r="J1055" s="37"/>
      <c r="K1055" s="45">
        <f t="shared" si="307"/>
        <v>0</v>
      </c>
    </row>
    <row r="1056" ht="15.0" customHeight="1">
      <c r="A1056" s="39" t="s">
        <v>1280</v>
      </c>
      <c r="B1056" s="40" t="s">
        <v>1172</v>
      </c>
      <c r="C1056" s="41">
        <v>12.0</v>
      </c>
      <c r="D1056" s="33">
        <v>8.809054400529E12</v>
      </c>
      <c r="E1056" s="42">
        <v>2.55</v>
      </c>
      <c r="F1056" s="35">
        <v>30.6</v>
      </c>
      <c r="G1056" s="36">
        <v>2.0</v>
      </c>
      <c r="H1056" s="43">
        <f t="shared" si="305"/>
        <v>2.716666667</v>
      </c>
      <c r="I1056" s="43">
        <f t="shared" si="306"/>
        <v>32.6</v>
      </c>
      <c r="J1056" s="37"/>
      <c r="K1056" s="45">
        <f t="shared" si="307"/>
        <v>0</v>
      </c>
    </row>
    <row r="1057" ht="15.0" customHeight="1">
      <c r="A1057" s="39" t="s">
        <v>1281</v>
      </c>
      <c r="B1057" s="40" t="s">
        <v>1282</v>
      </c>
      <c r="C1057" s="41">
        <v>16.0</v>
      </c>
      <c r="D1057" s="33">
        <v>8.80107391027E12</v>
      </c>
      <c r="E1057" s="42">
        <v>2.89</v>
      </c>
      <c r="F1057" s="35">
        <f>E1057*C1057</f>
        <v>46.24</v>
      </c>
      <c r="G1057" s="36">
        <v>1.0</v>
      </c>
      <c r="H1057" s="43">
        <f t="shared" si="305"/>
        <v>2.9525</v>
      </c>
      <c r="I1057" s="43">
        <f t="shared" si="306"/>
        <v>47.24</v>
      </c>
      <c r="J1057" s="37"/>
      <c r="K1057" s="45">
        <f t="shared" si="307"/>
        <v>0</v>
      </c>
    </row>
    <row r="1058" ht="15.0" customHeight="1">
      <c r="A1058" s="39" t="s">
        <v>1283</v>
      </c>
      <c r="B1058" s="40" t="s">
        <v>1284</v>
      </c>
      <c r="C1058" s="41">
        <v>12.0</v>
      </c>
      <c r="D1058" s="33">
        <v>3.661945310059E12</v>
      </c>
      <c r="E1058" s="42">
        <v>1.1</v>
      </c>
      <c r="F1058" s="35">
        <v>13.2</v>
      </c>
      <c r="G1058" s="36">
        <v>1.0</v>
      </c>
      <c r="H1058" s="43">
        <f t="shared" si="305"/>
        <v>1.183333333</v>
      </c>
      <c r="I1058" s="43">
        <f t="shared" si="306"/>
        <v>14.2</v>
      </c>
      <c r="J1058" s="37"/>
      <c r="K1058" s="45">
        <f t="shared" si="307"/>
        <v>0</v>
      </c>
    </row>
    <row r="1059" ht="15.0" customHeight="1">
      <c r="A1059" s="39" t="s">
        <v>1285</v>
      </c>
      <c r="B1059" s="40" t="s">
        <v>1257</v>
      </c>
      <c r="C1059" s="41">
        <v>12.0</v>
      </c>
      <c r="D1059" s="33">
        <v>3.661945730031E12</v>
      </c>
      <c r="E1059" s="42">
        <v>2.45</v>
      </c>
      <c r="F1059" s="35">
        <v>29.4</v>
      </c>
      <c r="G1059" s="36">
        <v>1.0</v>
      </c>
      <c r="H1059" s="43">
        <f t="shared" si="305"/>
        <v>2.533333333</v>
      </c>
      <c r="I1059" s="43">
        <f t="shared" si="306"/>
        <v>30.4</v>
      </c>
      <c r="J1059" s="37"/>
      <c r="K1059" s="45">
        <f t="shared" si="307"/>
        <v>0</v>
      </c>
    </row>
    <row r="1060" ht="15.0" customHeight="1">
      <c r="A1060" s="39" t="s">
        <v>1286</v>
      </c>
      <c r="B1060" s="40" t="s">
        <v>1287</v>
      </c>
      <c r="C1060" s="41">
        <v>12.0</v>
      </c>
      <c r="D1060" s="33">
        <v>8.934563284152E12</v>
      </c>
      <c r="E1060" s="42">
        <v>1.5</v>
      </c>
      <c r="F1060" s="35">
        <v>18.0</v>
      </c>
      <c r="G1060" s="36">
        <v>1.0</v>
      </c>
      <c r="H1060" s="43">
        <f t="shared" si="305"/>
        <v>1.583333333</v>
      </c>
      <c r="I1060" s="43">
        <f t="shared" si="306"/>
        <v>19</v>
      </c>
      <c r="J1060" s="37"/>
      <c r="K1060" s="45">
        <f t="shared" si="307"/>
        <v>0</v>
      </c>
    </row>
    <row r="1061" ht="15.0" customHeight="1">
      <c r="A1061" s="39" t="s">
        <v>1288</v>
      </c>
      <c r="B1061" s="40" t="s">
        <v>1287</v>
      </c>
      <c r="C1061" s="41">
        <v>12.0</v>
      </c>
      <c r="D1061" s="33">
        <v>8.934563283155E12</v>
      </c>
      <c r="E1061" s="42">
        <v>1.5</v>
      </c>
      <c r="F1061" s="35">
        <v>18.0</v>
      </c>
      <c r="G1061" s="36">
        <v>1.0</v>
      </c>
      <c r="H1061" s="43">
        <f t="shared" si="305"/>
        <v>1.583333333</v>
      </c>
      <c r="I1061" s="43">
        <f t="shared" si="306"/>
        <v>19</v>
      </c>
      <c r="J1061" s="37"/>
      <c r="K1061" s="45">
        <f t="shared" si="307"/>
        <v>0</v>
      </c>
    </row>
    <row r="1062" ht="15.0" customHeight="1">
      <c r="A1062" s="39" t="s">
        <v>1289</v>
      </c>
      <c r="B1062" s="40" t="s">
        <v>1287</v>
      </c>
      <c r="C1062" s="41">
        <v>12.0</v>
      </c>
      <c r="D1062" s="33">
        <v>8.934563282158E12</v>
      </c>
      <c r="E1062" s="42">
        <v>1.5</v>
      </c>
      <c r="F1062" s="35">
        <v>18.0</v>
      </c>
      <c r="G1062" s="36">
        <v>1.0</v>
      </c>
      <c r="H1062" s="43">
        <f t="shared" si="305"/>
        <v>1.583333333</v>
      </c>
      <c r="I1062" s="43">
        <f t="shared" si="306"/>
        <v>19</v>
      </c>
      <c r="J1062" s="37"/>
      <c r="K1062" s="45">
        <f t="shared" si="307"/>
        <v>0</v>
      </c>
    </row>
    <row r="1063" ht="15.0" customHeight="1">
      <c r="A1063" s="30" t="s">
        <v>1290</v>
      </c>
      <c r="B1063" s="31"/>
      <c r="C1063" s="32"/>
      <c r="D1063" s="33"/>
      <c r="E1063" s="34"/>
      <c r="F1063" s="35"/>
      <c r="G1063" s="36"/>
      <c r="H1063" s="43"/>
      <c r="I1063" s="43"/>
      <c r="J1063" s="37"/>
      <c r="K1063" s="45"/>
    </row>
    <row r="1064" ht="15.0" customHeight="1">
      <c r="A1064" s="39" t="s">
        <v>1291</v>
      </c>
      <c r="B1064" s="40" t="s">
        <v>1292</v>
      </c>
      <c r="C1064" s="41">
        <v>24.0</v>
      </c>
      <c r="D1064" s="33">
        <v>8.853662056005E12</v>
      </c>
      <c r="E1064" s="42">
        <v>2.29</v>
      </c>
      <c r="F1064" s="35">
        <v>54.96</v>
      </c>
      <c r="G1064" s="36">
        <v>2.0</v>
      </c>
      <c r="H1064" s="43">
        <f t="shared" ref="H1064:H1068" si="308">I1064/C1064</f>
        <v>2.373333333</v>
      </c>
      <c r="I1064" s="43">
        <f t="shared" ref="I1064:I1068" si="309">F1064+G1064</f>
        <v>56.96</v>
      </c>
      <c r="J1064" s="37"/>
      <c r="K1064" s="45">
        <f t="shared" ref="K1064:K1068" si="310">I1064*J1064</f>
        <v>0</v>
      </c>
    </row>
    <row r="1065" ht="15.0" customHeight="1">
      <c r="A1065" s="39" t="s">
        <v>1293</v>
      </c>
      <c r="B1065" s="40" t="s">
        <v>1292</v>
      </c>
      <c r="C1065" s="41">
        <v>12.0</v>
      </c>
      <c r="D1065" s="33">
        <v>8.853662056654E12</v>
      </c>
      <c r="E1065" s="42">
        <v>2.39</v>
      </c>
      <c r="F1065" s="35">
        <v>28.68</v>
      </c>
      <c r="G1065" s="36">
        <v>2.0</v>
      </c>
      <c r="H1065" s="43">
        <f t="shared" si="308"/>
        <v>2.556666667</v>
      </c>
      <c r="I1065" s="43">
        <f t="shared" si="309"/>
        <v>30.68</v>
      </c>
      <c r="J1065" s="37"/>
      <c r="K1065" s="45">
        <f t="shared" si="310"/>
        <v>0</v>
      </c>
    </row>
    <row r="1066" ht="15.0" customHeight="1">
      <c r="A1066" s="111" t="s">
        <v>1294</v>
      </c>
      <c r="B1066" s="40" t="s">
        <v>1292</v>
      </c>
      <c r="C1066" s="41">
        <v>12.0</v>
      </c>
      <c r="D1066" s="33">
        <v>8.853662060071E12</v>
      </c>
      <c r="E1066" s="42">
        <v>2.49</v>
      </c>
      <c r="F1066" s="35">
        <v>29.88</v>
      </c>
      <c r="G1066" s="36">
        <v>2.0</v>
      </c>
      <c r="H1066" s="43">
        <f t="shared" si="308"/>
        <v>2.656666667</v>
      </c>
      <c r="I1066" s="43">
        <f t="shared" si="309"/>
        <v>31.88</v>
      </c>
      <c r="J1066" s="37"/>
      <c r="K1066" s="45">
        <f t="shared" si="310"/>
        <v>0</v>
      </c>
    </row>
    <row r="1067" ht="15.0" customHeight="1">
      <c r="A1067" s="39" t="s">
        <v>1295</v>
      </c>
      <c r="B1067" s="40" t="s">
        <v>1296</v>
      </c>
      <c r="C1067" s="41">
        <v>12.0</v>
      </c>
      <c r="D1067" s="33">
        <v>8.853662056012E12</v>
      </c>
      <c r="E1067" s="42">
        <v>3.59</v>
      </c>
      <c r="F1067" s="35">
        <v>43.08</v>
      </c>
      <c r="G1067" s="36">
        <v>2.0</v>
      </c>
      <c r="H1067" s="43">
        <f t="shared" si="308"/>
        <v>3.756666667</v>
      </c>
      <c r="I1067" s="43">
        <f t="shared" si="309"/>
        <v>45.08</v>
      </c>
      <c r="J1067" s="37"/>
      <c r="K1067" s="45">
        <f t="shared" si="310"/>
        <v>0</v>
      </c>
    </row>
    <row r="1068" ht="15.0" customHeight="1">
      <c r="A1068" s="39" t="s">
        <v>1297</v>
      </c>
      <c r="B1068" s="40" t="s">
        <v>1296</v>
      </c>
      <c r="C1068" s="41">
        <v>12.0</v>
      </c>
      <c r="D1068" s="33">
        <v>8.853662056661E12</v>
      </c>
      <c r="E1068" s="42">
        <v>3.69</v>
      </c>
      <c r="F1068" s="35">
        <v>44.28</v>
      </c>
      <c r="G1068" s="36">
        <v>2.0</v>
      </c>
      <c r="H1068" s="43">
        <f t="shared" si="308"/>
        <v>3.856666667</v>
      </c>
      <c r="I1068" s="43">
        <f t="shared" si="309"/>
        <v>46.28</v>
      </c>
      <c r="J1068" s="37"/>
      <c r="K1068" s="45">
        <f t="shared" si="310"/>
        <v>0</v>
      </c>
    </row>
    <row r="1069" ht="15.0" customHeight="1">
      <c r="A1069" s="30" t="s">
        <v>1298</v>
      </c>
      <c r="B1069" s="40"/>
      <c r="C1069" s="41"/>
      <c r="D1069" s="33"/>
      <c r="E1069" s="34"/>
      <c r="F1069" s="35"/>
      <c r="G1069" s="36"/>
      <c r="H1069" s="43"/>
      <c r="I1069" s="43"/>
      <c r="J1069" s="37"/>
      <c r="K1069" s="45"/>
    </row>
    <row r="1070" ht="15.0" customHeight="1">
      <c r="A1070" s="39" t="s">
        <v>1299</v>
      </c>
      <c r="B1070" s="40" t="s">
        <v>1300</v>
      </c>
      <c r="C1070" s="41">
        <v>24.0</v>
      </c>
      <c r="D1070" s="33">
        <v>6.922532828102E12</v>
      </c>
      <c r="E1070" s="42">
        <v>0.89</v>
      </c>
      <c r="F1070" s="35">
        <v>21.36</v>
      </c>
      <c r="G1070" s="36">
        <v>1.0</v>
      </c>
      <c r="H1070" s="43">
        <f t="shared" ref="H1070:H1073" si="311">I1070/C1070</f>
        <v>0.9316666667</v>
      </c>
      <c r="I1070" s="43">
        <f t="shared" ref="I1070:I1073" si="312">F1070+G1070</f>
        <v>22.36</v>
      </c>
      <c r="J1070" s="37"/>
      <c r="K1070" s="45">
        <f t="shared" ref="K1070:K1073" si="313">I1070*J1070</f>
        <v>0</v>
      </c>
    </row>
    <row r="1071" ht="15.0" customHeight="1">
      <c r="A1071" s="39" t="s">
        <v>1301</v>
      </c>
      <c r="B1071" s="40" t="s">
        <v>1097</v>
      </c>
      <c r="C1071" s="41">
        <v>12.0</v>
      </c>
      <c r="D1071" s="33">
        <v>3.661945210045E12</v>
      </c>
      <c r="E1071" s="42">
        <v>1.59</v>
      </c>
      <c r="F1071" s="35">
        <v>19.08</v>
      </c>
      <c r="G1071" s="36">
        <v>1.0</v>
      </c>
      <c r="H1071" s="43">
        <f t="shared" si="311"/>
        <v>1.673333333</v>
      </c>
      <c r="I1071" s="43">
        <f t="shared" si="312"/>
        <v>20.08</v>
      </c>
      <c r="J1071" s="37"/>
      <c r="K1071" s="45">
        <f t="shared" si="313"/>
        <v>0</v>
      </c>
    </row>
    <row r="1072" ht="15.0" customHeight="1">
      <c r="A1072" s="39" t="s">
        <v>1302</v>
      </c>
      <c r="B1072" s="40" t="s">
        <v>1300</v>
      </c>
      <c r="C1072" s="41">
        <v>12.0</v>
      </c>
      <c r="D1072" s="33">
        <v>3.661945210083E12</v>
      </c>
      <c r="E1072" s="42">
        <v>1.09</v>
      </c>
      <c r="F1072" s="35">
        <v>13.08</v>
      </c>
      <c r="G1072" s="36">
        <v>1.0</v>
      </c>
      <c r="H1072" s="43">
        <f t="shared" si="311"/>
        <v>1.173333333</v>
      </c>
      <c r="I1072" s="43">
        <f t="shared" si="312"/>
        <v>14.08</v>
      </c>
      <c r="J1072" s="37"/>
      <c r="K1072" s="45">
        <f t="shared" si="313"/>
        <v>0</v>
      </c>
    </row>
    <row r="1073" ht="15.0" customHeight="1">
      <c r="A1073" s="39" t="s">
        <v>1303</v>
      </c>
      <c r="B1073" s="40" t="s">
        <v>1296</v>
      </c>
      <c r="C1073" s="41">
        <v>12.0</v>
      </c>
      <c r="D1073" s="33">
        <v>8.853095002181E12</v>
      </c>
      <c r="E1073" s="42">
        <v>1.95</v>
      </c>
      <c r="F1073" s="35">
        <v>23.4</v>
      </c>
      <c r="G1073" s="36">
        <v>1.0</v>
      </c>
      <c r="H1073" s="43">
        <f t="shared" si="311"/>
        <v>2.033333333</v>
      </c>
      <c r="I1073" s="43">
        <f t="shared" si="312"/>
        <v>24.4</v>
      </c>
      <c r="J1073" s="37"/>
      <c r="K1073" s="45">
        <f t="shared" si="313"/>
        <v>0</v>
      </c>
    </row>
    <row r="1074" ht="15.0" customHeight="1">
      <c r="A1074" s="30" t="s">
        <v>1304</v>
      </c>
      <c r="B1074" s="40"/>
      <c r="C1074" s="41"/>
      <c r="D1074" s="33"/>
      <c r="E1074" s="34"/>
      <c r="F1074" s="35"/>
      <c r="G1074" s="36"/>
      <c r="H1074" s="43"/>
      <c r="I1074" s="43"/>
      <c r="J1074" s="37"/>
      <c r="K1074" s="45"/>
    </row>
    <row r="1075" ht="15.0" customHeight="1">
      <c r="A1075" s="39" t="s">
        <v>1305</v>
      </c>
      <c r="B1075" s="40" t="s">
        <v>1300</v>
      </c>
      <c r="C1075" s="41">
        <v>12.0</v>
      </c>
      <c r="D1075" s="33">
        <v>8.715035110106E12</v>
      </c>
      <c r="E1075" s="42">
        <v>2.59</v>
      </c>
      <c r="F1075" s="35">
        <v>31.08</v>
      </c>
      <c r="G1075" s="36">
        <v>1.0</v>
      </c>
      <c r="H1075" s="43">
        <f t="shared" ref="H1075:H1076" si="314">I1075/C1075</f>
        <v>2.673333333</v>
      </c>
      <c r="I1075" s="43">
        <f t="shared" ref="I1075:I1076" si="315">F1075+G1075</f>
        <v>32.08</v>
      </c>
      <c r="J1075" s="37"/>
      <c r="K1075" s="45">
        <f t="shared" ref="K1075:K1076" si="316">I1075*J1075</f>
        <v>0</v>
      </c>
    </row>
    <row r="1076" ht="15.0" customHeight="1">
      <c r="A1076" s="39" t="s">
        <v>1306</v>
      </c>
      <c r="B1076" s="40" t="s">
        <v>1307</v>
      </c>
      <c r="C1076" s="41">
        <v>6.0</v>
      </c>
      <c r="D1076" s="33">
        <v>8.715035250307E12</v>
      </c>
      <c r="E1076" s="42">
        <v>3.15</v>
      </c>
      <c r="F1076" s="35">
        <v>18.9</v>
      </c>
      <c r="G1076" s="36">
        <v>1.0</v>
      </c>
      <c r="H1076" s="43">
        <f t="shared" si="314"/>
        <v>3.316666667</v>
      </c>
      <c r="I1076" s="43">
        <f t="shared" si="315"/>
        <v>19.9</v>
      </c>
      <c r="J1076" s="37"/>
      <c r="K1076" s="45">
        <f t="shared" si="316"/>
        <v>0</v>
      </c>
    </row>
    <row r="1077" ht="15.0" customHeight="1">
      <c r="A1077" s="30" t="s">
        <v>1308</v>
      </c>
      <c r="B1077" s="40"/>
      <c r="C1077" s="41"/>
      <c r="D1077" s="33"/>
      <c r="E1077" s="34"/>
      <c r="F1077" s="35"/>
      <c r="G1077" s="36"/>
      <c r="H1077" s="43"/>
      <c r="I1077" s="43"/>
      <c r="J1077" s="37"/>
      <c r="K1077" s="45"/>
    </row>
    <row r="1078" ht="15.0" customHeight="1">
      <c r="A1078" s="39" t="s">
        <v>1309</v>
      </c>
      <c r="B1078" s="40" t="s">
        <v>1310</v>
      </c>
      <c r="C1078" s="41">
        <v>24.0</v>
      </c>
      <c r="D1078" s="33">
        <v>8.801073411388E12</v>
      </c>
      <c r="E1078" s="42">
        <v>3.89</v>
      </c>
      <c r="F1078" s="35">
        <v>93.36</v>
      </c>
      <c r="G1078" s="36">
        <v>1.0</v>
      </c>
      <c r="H1078" s="43">
        <f t="shared" ref="H1078:H1080" si="317">I1078/C1078</f>
        <v>3.931666667</v>
      </c>
      <c r="I1078" s="43">
        <f t="shared" ref="I1078:I1080" si="318">F1078+G1078</f>
        <v>94.36</v>
      </c>
      <c r="J1078" s="37"/>
      <c r="K1078" s="45">
        <f t="shared" ref="K1078:K1080" si="319">I1078*J1078</f>
        <v>0</v>
      </c>
    </row>
    <row r="1079" ht="15.0" customHeight="1">
      <c r="A1079" s="39" t="s">
        <v>1311</v>
      </c>
      <c r="B1079" s="40" t="s">
        <v>1310</v>
      </c>
      <c r="C1079" s="41">
        <v>24.0</v>
      </c>
      <c r="D1079" s="33">
        <v>8.801073411395E12</v>
      </c>
      <c r="E1079" s="42">
        <v>3.89</v>
      </c>
      <c r="F1079" s="35">
        <v>93.36</v>
      </c>
      <c r="G1079" s="36">
        <v>1.0</v>
      </c>
      <c r="H1079" s="43">
        <f t="shared" si="317"/>
        <v>3.931666667</v>
      </c>
      <c r="I1079" s="43">
        <f t="shared" si="318"/>
        <v>94.36</v>
      </c>
      <c r="J1079" s="37"/>
      <c r="K1079" s="45">
        <f t="shared" si="319"/>
        <v>0</v>
      </c>
    </row>
    <row r="1080" ht="15.0" customHeight="1">
      <c r="A1080" s="53" t="s">
        <v>1312</v>
      </c>
      <c r="B1080" s="40" t="s">
        <v>1310</v>
      </c>
      <c r="C1080" s="100" t="s">
        <v>304</v>
      </c>
      <c r="D1080" s="158">
        <v>8.801073411913E12</v>
      </c>
      <c r="E1080" s="42">
        <v>3.89</v>
      </c>
      <c r="F1080" s="35">
        <v>93.36</v>
      </c>
      <c r="G1080" s="36">
        <v>1.0</v>
      </c>
      <c r="H1080" s="43">
        <f t="shared" si="317"/>
        <v>3.931666667</v>
      </c>
      <c r="I1080" s="43">
        <f t="shared" si="318"/>
        <v>94.36</v>
      </c>
      <c r="J1080" s="37"/>
      <c r="K1080" s="45">
        <f t="shared" si="319"/>
        <v>0</v>
      </c>
    </row>
    <row r="1081" ht="15.0" customHeight="1">
      <c r="A1081" s="49" t="s">
        <v>1313</v>
      </c>
      <c r="B1081" s="31"/>
      <c r="C1081" s="32"/>
      <c r="D1081" s="33"/>
      <c r="E1081" s="34"/>
      <c r="F1081" s="35"/>
      <c r="G1081" s="36"/>
      <c r="H1081" s="43"/>
      <c r="I1081" s="43"/>
      <c r="J1081" s="37"/>
      <c r="K1081" s="45"/>
    </row>
    <row r="1082" ht="15.0" customHeight="1">
      <c r="A1082" s="48" t="s">
        <v>1314</v>
      </c>
      <c r="B1082" s="40" t="s">
        <v>1315</v>
      </c>
      <c r="C1082" s="41">
        <v>12.0</v>
      </c>
      <c r="D1082" s="33">
        <v>4.713072179548E12</v>
      </c>
      <c r="E1082" s="42">
        <v>2.75</v>
      </c>
      <c r="F1082" s="35">
        <v>33.0</v>
      </c>
      <c r="G1082" s="36">
        <v>2.0</v>
      </c>
      <c r="H1082" s="43">
        <f t="shared" ref="H1082:H1091" si="320">I1082/C1082</f>
        <v>2.916666667</v>
      </c>
      <c r="I1082" s="43">
        <f t="shared" ref="I1082:I1091" si="321">F1082+G1082</f>
        <v>35</v>
      </c>
      <c r="J1082" s="37"/>
      <c r="K1082" s="45">
        <f t="shared" ref="K1082:K1091" si="322">I1082*J1082</f>
        <v>0</v>
      </c>
    </row>
    <row r="1083" ht="15.0" customHeight="1">
      <c r="A1083" s="48" t="s">
        <v>1316</v>
      </c>
      <c r="B1083" s="40" t="s">
        <v>1315</v>
      </c>
      <c r="C1083" s="41">
        <v>12.0</v>
      </c>
      <c r="D1083" s="33">
        <v>4.713072179531E12</v>
      </c>
      <c r="E1083" s="42">
        <v>2.75</v>
      </c>
      <c r="F1083" s="35">
        <v>33.0</v>
      </c>
      <c r="G1083" s="36">
        <v>2.0</v>
      </c>
      <c r="H1083" s="43">
        <f t="shared" si="320"/>
        <v>2.916666667</v>
      </c>
      <c r="I1083" s="43">
        <f t="shared" si="321"/>
        <v>35</v>
      </c>
      <c r="J1083" s="37"/>
      <c r="K1083" s="45">
        <f t="shared" si="322"/>
        <v>0</v>
      </c>
    </row>
    <row r="1084" ht="15.0" customHeight="1">
      <c r="A1084" s="48" t="s">
        <v>1317</v>
      </c>
      <c r="B1084" s="40" t="s">
        <v>1315</v>
      </c>
      <c r="C1084" s="41">
        <v>12.0</v>
      </c>
      <c r="D1084" s="33">
        <v>4.713072179562E12</v>
      </c>
      <c r="E1084" s="42">
        <v>2.75</v>
      </c>
      <c r="F1084" s="35">
        <v>33.0</v>
      </c>
      <c r="G1084" s="36">
        <v>2.0</v>
      </c>
      <c r="H1084" s="43">
        <f t="shared" si="320"/>
        <v>2.916666667</v>
      </c>
      <c r="I1084" s="43">
        <f t="shared" si="321"/>
        <v>35</v>
      </c>
      <c r="J1084" s="37"/>
      <c r="K1084" s="45">
        <f t="shared" si="322"/>
        <v>0</v>
      </c>
    </row>
    <row r="1085" ht="15.0" customHeight="1">
      <c r="A1085" s="48" t="s">
        <v>1318</v>
      </c>
      <c r="B1085" s="40" t="s">
        <v>1315</v>
      </c>
      <c r="C1085" s="41">
        <v>12.0</v>
      </c>
      <c r="D1085" s="33">
        <v>4.713072179555E12</v>
      </c>
      <c r="E1085" s="42">
        <v>2.75</v>
      </c>
      <c r="F1085" s="35">
        <v>33.0</v>
      </c>
      <c r="G1085" s="36">
        <v>2.0</v>
      </c>
      <c r="H1085" s="43">
        <f t="shared" si="320"/>
        <v>2.916666667</v>
      </c>
      <c r="I1085" s="43">
        <f t="shared" si="321"/>
        <v>35</v>
      </c>
      <c r="J1085" s="37"/>
      <c r="K1085" s="45">
        <f t="shared" si="322"/>
        <v>0</v>
      </c>
    </row>
    <row r="1086" ht="15.0" customHeight="1">
      <c r="A1086" s="48" t="s">
        <v>1319</v>
      </c>
      <c r="B1086" s="40" t="s">
        <v>1257</v>
      </c>
      <c r="C1086" s="41">
        <v>24.0</v>
      </c>
      <c r="D1086" s="33">
        <v>4.712905052409E12</v>
      </c>
      <c r="E1086" s="42">
        <v>2.25</v>
      </c>
      <c r="F1086" s="35">
        <v>54.0</v>
      </c>
      <c r="G1086" s="36">
        <v>2.0</v>
      </c>
      <c r="H1086" s="43">
        <f t="shared" si="320"/>
        <v>2.333333333</v>
      </c>
      <c r="I1086" s="43">
        <f t="shared" si="321"/>
        <v>56</v>
      </c>
      <c r="J1086" s="37"/>
      <c r="K1086" s="45">
        <f t="shared" si="322"/>
        <v>0</v>
      </c>
    </row>
    <row r="1087" ht="15.0" customHeight="1">
      <c r="A1087" s="48" t="s">
        <v>1320</v>
      </c>
      <c r="B1087" s="40" t="s">
        <v>1257</v>
      </c>
      <c r="C1087" s="41">
        <v>24.0</v>
      </c>
      <c r="D1087" s="33">
        <v>4.712905052393E12</v>
      </c>
      <c r="E1087" s="42">
        <v>2.25</v>
      </c>
      <c r="F1087" s="35">
        <v>54.0</v>
      </c>
      <c r="G1087" s="36">
        <v>2.0</v>
      </c>
      <c r="H1087" s="43">
        <f t="shared" si="320"/>
        <v>2.333333333</v>
      </c>
      <c r="I1087" s="43">
        <f t="shared" si="321"/>
        <v>56</v>
      </c>
      <c r="J1087" s="37"/>
      <c r="K1087" s="45">
        <f t="shared" si="322"/>
        <v>0</v>
      </c>
    </row>
    <row r="1088" ht="15.0" customHeight="1">
      <c r="A1088" s="48" t="s">
        <v>1321</v>
      </c>
      <c r="B1088" s="40" t="s">
        <v>1322</v>
      </c>
      <c r="C1088" s="41">
        <v>12.0</v>
      </c>
      <c r="D1088" s="33">
        <v>4.712905016036E12</v>
      </c>
      <c r="E1088" s="42">
        <v>2.65</v>
      </c>
      <c r="F1088" s="35">
        <v>31.8</v>
      </c>
      <c r="G1088" s="36">
        <v>2.0</v>
      </c>
      <c r="H1088" s="43">
        <f t="shared" si="320"/>
        <v>2.816666667</v>
      </c>
      <c r="I1088" s="43">
        <f t="shared" si="321"/>
        <v>33.8</v>
      </c>
      <c r="J1088" s="37"/>
      <c r="K1088" s="45">
        <f t="shared" si="322"/>
        <v>0</v>
      </c>
    </row>
    <row r="1089" ht="15.0" customHeight="1">
      <c r="A1089" s="48" t="s">
        <v>1323</v>
      </c>
      <c r="B1089" s="40" t="s">
        <v>1322</v>
      </c>
      <c r="C1089" s="41">
        <v>12.0</v>
      </c>
      <c r="D1089" s="33">
        <v>4.712905016043E12</v>
      </c>
      <c r="E1089" s="42">
        <v>2.65</v>
      </c>
      <c r="F1089" s="35">
        <v>31.8</v>
      </c>
      <c r="G1089" s="36">
        <v>2.0</v>
      </c>
      <c r="H1089" s="43">
        <f t="shared" si="320"/>
        <v>2.816666667</v>
      </c>
      <c r="I1089" s="43">
        <f t="shared" si="321"/>
        <v>33.8</v>
      </c>
      <c r="J1089" s="37"/>
      <c r="K1089" s="45">
        <f t="shared" si="322"/>
        <v>0</v>
      </c>
    </row>
    <row r="1090" ht="15.0" customHeight="1">
      <c r="A1090" s="48" t="s">
        <v>1324</v>
      </c>
      <c r="B1090" s="40" t="s">
        <v>1322</v>
      </c>
      <c r="C1090" s="41">
        <v>12.0</v>
      </c>
      <c r="D1090" s="33">
        <v>4.712905016081E12</v>
      </c>
      <c r="E1090" s="42">
        <v>2.65</v>
      </c>
      <c r="F1090" s="35">
        <v>31.8</v>
      </c>
      <c r="G1090" s="36">
        <v>2.0</v>
      </c>
      <c r="H1090" s="43">
        <f t="shared" si="320"/>
        <v>2.816666667</v>
      </c>
      <c r="I1090" s="43">
        <f t="shared" si="321"/>
        <v>33.8</v>
      </c>
      <c r="J1090" s="37"/>
      <c r="K1090" s="45">
        <f t="shared" si="322"/>
        <v>0</v>
      </c>
    </row>
    <row r="1091" ht="15.0" customHeight="1">
      <c r="A1091" s="48" t="s">
        <v>1325</v>
      </c>
      <c r="B1091" s="40" t="s">
        <v>1322</v>
      </c>
      <c r="C1091" s="41">
        <v>12.0</v>
      </c>
      <c r="D1091" s="33">
        <v>4.712905016067E12</v>
      </c>
      <c r="E1091" s="42">
        <v>2.65</v>
      </c>
      <c r="F1091" s="35">
        <v>31.8</v>
      </c>
      <c r="G1091" s="36">
        <v>2.0</v>
      </c>
      <c r="H1091" s="43">
        <f t="shared" si="320"/>
        <v>2.816666667</v>
      </c>
      <c r="I1091" s="43">
        <f t="shared" si="321"/>
        <v>33.8</v>
      </c>
      <c r="J1091" s="37"/>
      <c r="K1091" s="45">
        <f t="shared" si="322"/>
        <v>0</v>
      </c>
    </row>
    <row r="1092" ht="15.0" customHeight="1">
      <c r="A1092" s="49" t="s">
        <v>1326</v>
      </c>
      <c r="B1092" s="31"/>
      <c r="C1092" s="32"/>
      <c r="D1092" s="33"/>
      <c r="E1092" s="34"/>
      <c r="F1092" s="35"/>
      <c r="G1092" s="36"/>
      <c r="H1092" s="43"/>
      <c r="I1092" s="43"/>
      <c r="J1092" s="37"/>
      <c r="K1092" s="45"/>
    </row>
    <row r="1093" ht="15.0" customHeight="1">
      <c r="A1093" s="110" t="s">
        <v>1327</v>
      </c>
      <c r="B1093" s="58" t="s">
        <v>1328</v>
      </c>
      <c r="C1093" s="58">
        <v>12.0</v>
      </c>
      <c r="D1093" s="119">
        <v>5.000157024671E12</v>
      </c>
      <c r="E1093" s="56">
        <v>1.59</v>
      </c>
      <c r="F1093" s="35">
        <v>19.08</v>
      </c>
      <c r="G1093" s="36">
        <v>1.0</v>
      </c>
      <c r="H1093" s="43">
        <f t="shared" ref="H1093:H1102" si="323">I1093/C1093</f>
        <v>1.673333333</v>
      </c>
      <c r="I1093" s="43">
        <f t="shared" ref="I1093:I1102" si="324">F1093+G1093</f>
        <v>20.08</v>
      </c>
      <c r="J1093" s="37"/>
      <c r="K1093" s="45">
        <f t="shared" ref="K1093:K1102" si="325">I1093*J1093</f>
        <v>0</v>
      </c>
    </row>
    <row r="1094" ht="15.0" customHeight="1">
      <c r="A1094" s="110" t="s">
        <v>1329</v>
      </c>
      <c r="B1094" s="58" t="s">
        <v>1328</v>
      </c>
      <c r="C1094" s="58">
        <v>24.0</v>
      </c>
      <c r="D1094" s="119">
        <v>5.000157156044E12</v>
      </c>
      <c r="E1094" s="56">
        <v>2.99</v>
      </c>
      <c r="F1094" s="35">
        <v>71.76</v>
      </c>
      <c r="G1094" s="36">
        <v>1.0</v>
      </c>
      <c r="H1094" s="43">
        <f t="shared" si="323"/>
        <v>3.031666667</v>
      </c>
      <c r="I1094" s="43">
        <f t="shared" si="324"/>
        <v>72.76</v>
      </c>
      <c r="J1094" s="37"/>
      <c r="K1094" s="45">
        <f t="shared" si="325"/>
        <v>0</v>
      </c>
    </row>
    <row r="1095" ht="15.0" customHeight="1">
      <c r="A1095" s="110" t="s">
        <v>1330</v>
      </c>
      <c r="B1095" s="58" t="s">
        <v>1331</v>
      </c>
      <c r="C1095" s="58">
        <v>12.0</v>
      </c>
      <c r="D1095" s="119">
        <v>5.900783009106E12</v>
      </c>
      <c r="E1095" s="56">
        <v>2.99</v>
      </c>
      <c r="F1095" s="35">
        <v>35.88</v>
      </c>
      <c r="G1095" s="36">
        <v>1.0</v>
      </c>
      <c r="H1095" s="43">
        <f t="shared" si="323"/>
        <v>3.073333333</v>
      </c>
      <c r="I1095" s="43">
        <f t="shared" si="324"/>
        <v>36.88</v>
      </c>
      <c r="J1095" s="37"/>
      <c r="K1095" s="45">
        <f t="shared" si="325"/>
        <v>0</v>
      </c>
    </row>
    <row r="1096" ht="15.0" customHeight="1">
      <c r="A1096" s="48" t="s">
        <v>1332</v>
      </c>
      <c r="B1096" s="58" t="s">
        <v>1333</v>
      </c>
      <c r="C1096" s="58">
        <v>12.0</v>
      </c>
      <c r="D1096" s="119">
        <v>3.545360000958E12</v>
      </c>
      <c r="E1096" s="56">
        <v>1.45</v>
      </c>
      <c r="F1096" s="35">
        <v>17.4</v>
      </c>
      <c r="G1096" s="36">
        <v>1.0</v>
      </c>
      <c r="H1096" s="43">
        <f t="shared" si="323"/>
        <v>1.533333333</v>
      </c>
      <c r="I1096" s="43">
        <f t="shared" si="324"/>
        <v>18.4</v>
      </c>
      <c r="J1096" s="37"/>
      <c r="K1096" s="45">
        <f t="shared" si="325"/>
        <v>0</v>
      </c>
    </row>
    <row r="1097" ht="15.0" customHeight="1">
      <c r="A1097" s="159" t="s">
        <v>1334</v>
      </c>
      <c r="B1097" s="58" t="s">
        <v>1335</v>
      </c>
      <c r="C1097" s="58">
        <v>10.0</v>
      </c>
      <c r="D1097" s="119">
        <v>3.545360000583E12</v>
      </c>
      <c r="E1097" s="56">
        <v>1.65</v>
      </c>
      <c r="F1097" s="35">
        <v>16.5</v>
      </c>
      <c r="G1097" s="36">
        <v>1.0</v>
      </c>
      <c r="H1097" s="43">
        <f t="shared" si="323"/>
        <v>1.75</v>
      </c>
      <c r="I1097" s="43">
        <f t="shared" si="324"/>
        <v>17.5</v>
      </c>
      <c r="J1097" s="37"/>
      <c r="K1097" s="45">
        <f t="shared" si="325"/>
        <v>0</v>
      </c>
    </row>
    <row r="1098" ht="15.0" customHeight="1">
      <c r="A1098" s="159" t="s">
        <v>1336</v>
      </c>
      <c r="B1098" s="58" t="s">
        <v>1337</v>
      </c>
      <c r="C1098" s="58">
        <v>12.0</v>
      </c>
      <c r="D1098" s="119">
        <v>4.251097402888E12</v>
      </c>
      <c r="E1098" s="56">
        <v>1.95</v>
      </c>
      <c r="F1098" s="35">
        <v>23.4</v>
      </c>
      <c r="G1098" s="36">
        <v>1.0</v>
      </c>
      <c r="H1098" s="43">
        <f t="shared" si="323"/>
        <v>2.033333333</v>
      </c>
      <c r="I1098" s="43">
        <f t="shared" si="324"/>
        <v>24.4</v>
      </c>
      <c r="J1098" s="37"/>
      <c r="K1098" s="45">
        <f t="shared" si="325"/>
        <v>0</v>
      </c>
    </row>
    <row r="1099" ht="15.0" customHeight="1">
      <c r="A1099" s="159" t="s">
        <v>1338</v>
      </c>
      <c r="B1099" s="58" t="s">
        <v>1337</v>
      </c>
      <c r="C1099" s="58">
        <v>12.0</v>
      </c>
      <c r="D1099" s="119">
        <v>4.251097402918E12</v>
      </c>
      <c r="E1099" s="56">
        <v>1.95</v>
      </c>
      <c r="F1099" s="35">
        <v>23.4</v>
      </c>
      <c r="G1099" s="36">
        <v>1.0</v>
      </c>
      <c r="H1099" s="43">
        <f t="shared" si="323"/>
        <v>2.033333333</v>
      </c>
      <c r="I1099" s="43">
        <f t="shared" si="324"/>
        <v>24.4</v>
      </c>
      <c r="J1099" s="37"/>
      <c r="K1099" s="45">
        <f t="shared" si="325"/>
        <v>0</v>
      </c>
    </row>
    <row r="1100" ht="15.0" customHeight="1">
      <c r="A1100" s="160" t="s">
        <v>1339</v>
      </c>
      <c r="B1100" s="58" t="s">
        <v>1337</v>
      </c>
      <c r="C1100" s="58">
        <v>12.0</v>
      </c>
      <c r="D1100" s="119">
        <v>4.25109740297E12</v>
      </c>
      <c r="E1100" s="56">
        <v>1.95</v>
      </c>
      <c r="F1100" s="35">
        <v>23.4</v>
      </c>
      <c r="G1100" s="36">
        <v>1.0</v>
      </c>
      <c r="H1100" s="43">
        <f t="shared" si="323"/>
        <v>2.033333333</v>
      </c>
      <c r="I1100" s="43">
        <f t="shared" si="324"/>
        <v>24.4</v>
      </c>
      <c r="J1100" s="37"/>
      <c r="K1100" s="45">
        <f t="shared" si="325"/>
        <v>0</v>
      </c>
    </row>
    <row r="1101" ht="15.0" customHeight="1">
      <c r="A1101" s="69" t="s">
        <v>1340</v>
      </c>
      <c r="B1101" s="40" t="s">
        <v>1341</v>
      </c>
      <c r="C1101" s="41">
        <v>12.0</v>
      </c>
      <c r="D1101" s="70">
        <v>4.251097406756E12</v>
      </c>
      <c r="E1101" s="64">
        <v>2.85</v>
      </c>
      <c r="F1101" s="57">
        <f t="shared" ref="F1101:F1102" si="326">C1101*E1101</f>
        <v>34.2</v>
      </c>
      <c r="G1101" s="36">
        <v>1.0</v>
      </c>
      <c r="H1101" s="43">
        <f t="shared" si="323"/>
        <v>2.933333333</v>
      </c>
      <c r="I1101" s="43">
        <f t="shared" si="324"/>
        <v>35.2</v>
      </c>
      <c r="J1101" s="37"/>
      <c r="K1101" s="45">
        <f t="shared" si="325"/>
        <v>0</v>
      </c>
    </row>
    <row r="1102" ht="15.0" customHeight="1">
      <c r="A1102" s="69" t="s">
        <v>1342</v>
      </c>
      <c r="B1102" s="40" t="s">
        <v>1341</v>
      </c>
      <c r="C1102" s="41">
        <v>12.0</v>
      </c>
      <c r="D1102" s="70">
        <v>4.251097406862E12</v>
      </c>
      <c r="E1102" s="64">
        <v>2.85</v>
      </c>
      <c r="F1102" s="57">
        <f t="shared" si="326"/>
        <v>34.2</v>
      </c>
      <c r="G1102" s="36">
        <v>1.0</v>
      </c>
      <c r="H1102" s="43">
        <f t="shared" si="323"/>
        <v>2.933333333</v>
      </c>
      <c r="I1102" s="43">
        <f t="shared" si="324"/>
        <v>35.2</v>
      </c>
      <c r="J1102" s="37"/>
      <c r="K1102" s="45">
        <f t="shared" si="325"/>
        <v>0</v>
      </c>
    </row>
    <row r="1103" ht="15.0" customHeight="1">
      <c r="A1103" s="49" t="s">
        <v>1343</v>
      </c>
      <c r="B1103" s="31"/>
      <c r="C1103" s="32"/>
      <c r="D1103" s="33"/>
      <c r="E1103" s="34"/>
      <c r="F1103" s="35"/>
      <c r="G1103" s="36"/>
      <c r="H1103" s="43"/>
      <c r="I1103" s="43"/>
      <c r="J1103" s="37"/>
      <c r="K1103" s="45"/>
    </row>
    <row r="1104" ht="15.0" customHeight="1">
      <c r="A1104" s="53" t="s">
        <v>1344</v>
      </c>
      <c r="B1104" s="40" t="s">
        <v>1345</v>
      </c>
      <c r="C1104" s="40">
        <v>40.0</v>
      </c>
      <c r="D1104" s="51" t="s">
        <v>1346</v>
      </c>
      <c r="E1104" s="56">
        <v>1.1</v>
      </c>
      <c r="F1104" s="35">
        <v>44.0</v>
      </c>
      <c r="G1104" s="36">
        <v>1.0</v>
      </c>
      <c r="H1104" s="43">
        <f t="shared" ref="H1104:H1106" si="327">I1104/C1104</f>
        <v>1.125</v>
      </c>
      <c r="I1104" s="43">
        <f t="shared" ref="I1104:I1106" si="328">F1104+G1104</f>
        <v>45</v>
      </c>
      <c r="J1104" s="37"/>
      <c r="K1104" s="45">
        <f t="shared" ref="K1104:K1106" si="329">I1104*J1104</f>
        <v>0</v>
      </c>
    </row>
    <row r="1105" ht="15.0" customHeight="1">
      <c r="A1105" s="53" t="s">
        <v>1347</v>
      </c>
      <c r="B1105" s="40" t="s">
        <v>1345</v>
      </c>
      <c r="C1105" s="40">
        <v>40.0</v>
      </c>
      <c r="D1105" s="161" t="s">
        <v>1348</v>
      </c>
      <c r="E1105" s="56">
        <v>1.1</v>
      </c>
      <c r="F1105" s="35">
        <v>44.0</v>
      </c>
      <c r="G1105" s="36">
        <v>1.0</v>
      </c>
      <c r="H1105" s="43">
        <f t="shared" si="327"/>
        <v>1.125</v>
      </c>
      <c r="I1105" s="43">
        <f t="shared" si="328"/>
        <v>45</v>
      </c>
      <c r="J1105" s="37"/>
      <c r="K1105" s="45">
        <f t="shared" si="329"/>
        <v>0</v>
      </c>
    </row>
    <row r="1106" ht="15.0" customHeight="1">
      <c r="A1106" s="53" t="s">
        <v>1349</v>
      </c>
      <c r="B1106" s="40" t="s">
        <v>1350</v>
      </c>
      <c r="C1106" s="40">
        <v>24.0</v>
      </c>
      <c r="D1106" s="162" t="s">
        <v>1351</v>
      </c>
      <c r="E1106" s="56">
        <v>1.3</v>
      </c>
      <c r="F1106" s="35">
        <v>31.2</v>
      </c>
      <c r="G1106" s="36">
        <v>1.0</v>
      </c>
      <c r="H1106" s="43">
        <f t="shared" si="327"/>
        <v>1.341666667</v>
      </c>
      <c r="I1106" s="43">
        <f t="shared" si="328"/>
        <v>32.2</v>
      </c>
      <c r="J1106" s="37"/>
      <c r="K1106" s="45">
        <f t="shared" si="329"/>
        <v>0</v>
      </c>
    </row>
    <row r="1107" ht="15.0" customHeight="1">
      <c r="A1107" s="30" t="s">
        <v>1352</v>
      </c>
      <c r="B1107" s="31"/>
      <c r="C1107" s="32"/>
      <c r="D1107" s="33"/>
      <c r="E1107" s="34"/>
      <c r="F1107" s="35"/>
      <c r="G1107" s="36"/>
      <c r="H1107" s="43"/>
      <c r="I1107" s="43"/>
      <c r="J1107" s="37"/>
      <c r="K1107" s="45"/>
    </row>
    <row r="1108" ht="15.0" customHeight="1">
      <c r="A1108" s="39" t="s">
        <v>1353</v>
      </c>
      <c r="B1108" s="40" t="s">
        <v>1354</v>
      </c>
      <c r="C1108" s="41">
        <v>20.0</v>
      </c>
      <c r="D1108" s="33">
        <v>8.005709204034E12</v>
      </c>
      <c r="E1108" s="42">
        <v>1.45</v>
      </c>
      <c r="F1108" s="35">
        <v>29.0</v>
      </c>
      <c r="G1108" s="36">
        <v>2.0</v>
      </c>
      <c r="H1108" s="43">
        <f t="shared" ref="H1108:H1113" si="330">I1108/C1108</f>
        <v>1.55</v>
      </c>
      <c r="I1108" s="43">
        <f t="shared" ref="I1108:I1113" si="331">F1108+G1108</f>
        <v>31</v>
      </c>
      <c r="J1108" s="37"/>
      <c r="K1108" s="45">
        <f t="shared" ref="K1108:K1113" si="332">I1108*J1108</f>
        <v>0</v>
      </c>
    </row>
    <row r="1109" ht="15.0" customHeight="1">
      <c r="A1109" s="39" t="s">
        <v>1355</v>
      </c>
      <c r="B1109" s="40" t="s">
        <v>1354</v>
      </c>
      <c r="C1109" s="41">
        <v>20.0</v>
      </c>
      <c r="D1109" s="33">
        <v>8.005709204041E12</v>
      </c>
      <c r="E1109" s="42">
        <v>1.45</v>
      </c>
      <c r="F1109" s="35">
        <v>29.0</v>
      </c>
      <c r="G1109" s="36">
        <v>2.0</v>
      </c>
      <c r="H1109" s="43">
        <f t="shared" si="330"/>
        <v>1.55</v>
      </c>
      <c r="I1109" s="43">
        <f t="shared" si="331"/>
        <v>31</v>
      </c>
      <c r="J1109" s="37"/>
      <c r="K1109" s="45">
        <f t="shared" si="332"/>
        <v>0</v>
      </c>
    </row>
    <row r="1110" ht="15.0" customHeight="1">
      <c r="A1110" s="39" t="s">
        <v>1356</v>
      </c>
      <c r="B1110" s="40" t="s">
        <v>1354</v>
      </c>
      <c r="C1110" s="41">
        <v>12.0</v>
      </c>
      <c r="D1110" s="33">
        <v>8.005709204959E12</v>
      </c>
      <c r="E1110" s="42">
        <v>1.55</v>
      </c>
      <c r="F1110" s="35">
        <v>18.6</v>
      </c>
      <c r="G1110" s="36">
        <v>1.0</v>
      </c>
      <c r="H1110" s="43">
        <f t="shared" si="330"/>
        <v>1.633333333</v>
      </c>
      <c r="I1110" s="43">
        <f t="shared" si="331"/>
        <v>19.6</v>
      </c>
      <c r="J1110" s="37"/>
      <c r="K1110" s="45">
        <f t="shared" si="332"/>
        <v>0</v>
      </c>
    </row>
    <row r="1111" ht="15.0" customHeight="1">
      <c r="A1111" s="39" t="s">
        <v>1357</v>
      </c>
      <c r="B1111" s="40" t="s">
        <v>1354</v>
      </c>
      <c r="C1111" s="41">
        <v>8.0</v>
      </c>
      <c r="D1111" s="33">
        <v>8.005709204805E12</v>
      </c>
      <c r="E1111" s="42">
        <v>1.55</v>
      </c>
      <c r="F1111" s="35">
        <v>12.4</v>
      </c>
      <c r="G1111" s="36">
        <v>1.0</v>
      </c>
      <c r="H1111" s="43">
        <f t="shared" si="330"/>
        <v>1.675</v>
      </c>
      <c r="I1111" s="43">
        <f t="shared" si="331"/>
        <v>13.4</v>
      </c>
      <c r="J1111" s="37"/>
      <c r="K1111" s="45">
        <f t="shared" si="332"/>
        <v>0</v>
      </c>
    </row>
    <row r="1112" ht="15.0" customHeight="1">
      <c r="A1112" s="39" t="s">
        <v>1358</v>
      </c>
      <c r="B1112" s="40" t="s">
        <v>1354</v>
      </c>
      <c r="C1112" s="41">
        <v>12.0</v>
      </c>
      <c r="D1112" s="33">
        <v>8.005709204812E12</v>
      </c>
      <c r="E1112" s="42">
        <v>1.55</v>
      </c>
      <c r="F1112" s="35">
        <v>18.6</v>
      </c>
      <c r="G1112" s="36">
        <v>1.0</v>
      </c>
      <c r="H1112" s="43">
        <f t="shared" si="330"/>
        <v>1.633333333</v>
      </c>
      <c r="I1112" s="43">
        <f t="shared" si="331"/>
        <v>19.6</v>
      </c>
      <c r="J1112" s="37"/>
      <c r="K1112" s="45">
        <f t="shared" si="332"/>
        <v>0</v>
      </c>
    </row>
    <row r="1113" ht="15.0" customHeight="1">
      <c r="A1113" s="39" t="s">
        <v>1359</v>
      </c>
      <c r="B1113" s="40" t="s">
        <v>1354</v>
      </c>
      <c r="C1113" s="41">
        <v>12.0</v>
      </c>
      <c r="D1113" s="33">
        <v>8.005709201101E12</v>
      </c>
      <c r="E1113" s="42">
        <v>1.55</v>
      </c>
      <c r="F1113" s="35">
        <v>18.6</v>
      </c>
      <c r="G1113" s="36">
        <v>1.0</v>
      </c>
      <c r="H1113" s="43">
        <f t="shared" si="330"/>
        <v>1.633333333</v>
      </c>
      <c r="I1113" s="43">
        <f t="shared" si="331"/>
        <v>19.6</v>
      </c>
      <c r="J1113" s="37"/>
      <c r="K1113" s="45">
        <f t="shared" si="332"/>
        <v>0</v>
      </c>
    </row>
    <row r="1114" ht="15.0" customHeight="1">
      <c r="A1114" s="39" t="s">
        <v>1360</v>
      </c>
      <c r="B1114" s="40" t="s">
        <v>1127</v>
      </c>
      <c r="C1114" s="41">
        <v>1.0</v>
      </c>
      <c r="D1114" s="33" t="s">
        <v>1127</v>
      </c>
      <c r="E1114" s="34"/>
      <c r="F1114" s="35"/>
      <c r="G1114" s="36" t="s">
        <v>1127</v>
      </c>
      <c r="H1114" s="43"/>
      <c r="I1114" s="43"/>
      <c r="J1114" s="37"/>
      <c r="K1114" s="45"/>
    </row>
    <row r="1115" ht="15.0" customHeight="1">
      <c r="A1115" s="30" t="s">
        <v>1361</v>
      </c>
      <c r="B1115" s="31"/>
      <c r="C1115" s="32"/>
      <c r="D1115" s="33"/>
      <c r="E1115" s="34"/>
      <c r="F1115" s="35"/>
      <c r="G1115" s="36"/>
      <c r="H1115" s="43"/>
      <c r="I1115" s="43"/>
      <c r="J1115" s="37"/>
      <c r="K1115" s="45"/>
    </row>
    <row r="1116" ht="15.0" customHeight="1">
      <c r="A1116" s="39" t="s">
        <v>1362</v>
      </c>
      <c r="B1116" s="40" t="s">
        <v>1335</v>
      </c>
      <c r="C1116" s="41">
        <v>14.0</v>
      </c>
      <c r="D1116" s="33">
        <v>3.800205872948E12</v>
      </c>
      <c r="E1116" s="42">
        <v>1.5</v>
      </c>
      <c r="F1116" s="35">
        <v>21.0</v>
      </c>
      <c r="G1116" s="36">
        <v>1.0</v>
      </c>
      <c r="H1116" s="43">
        <f t="shared" ref="H1116:H1118" si="333">I1116/C1116</f>
        <v>1.571428571</v>
      </c>
      <c r="I1116" s="43">
        <f t="shared" ref="I1116:I1118" si="334">F1116+G1116</f>
        <v>22</v>
      </c>
      <c r="J1116" s="37"/>
      <c r="K1116" s="45">
        <f t="shared" ref="K1116:K1118" si="335">I1116*J1116</f>
        <v>0</v>
      </c>
    </row>
    <row r="1117" ht="15.0" customHeight="1">
      <c r="A1117" s="39" t="s">
        <v>1363</v>
      </c>
      <c r="B1117" s="40" t="s">
        <v>1335</v>
      </c>
      <c r="C1117" s="41">
        <v>14.0</v>
      </c>
      <c r="D1117" s="33">
        <v>3.800205872962E12</v>
      </c>
      <c r="E1117" s="42">
        <v>1.5</v>
      </c>
      <c r="F1117" s="35">
        <v>21.0</v>
      </c>
      <c r="G1117" s="36">
        <v>1.0</v>
      </c>
      <c r="H1117" s="43">
        <f t="shared" si="333"/>
        <v>1.571428571</v>
      </c>
      <c r="I1117" s="43">
        <f t="shared" si="334"/>
        <v>22</v>
      </c>
      <c r="J1117" s="37"/>
      <c r="K1117" s="45">
        <f t="shared" si="335"/>
        <v>0</v>
      </c>
    </row>
    <row r="1118" ht="15.0" customHeight="1">
      <c r="A1118" s="39" t="s">
        <v>1364</v>
      </c>
      <c r="B1118" s="40" t="s">
        <v>1335</v>
      </c>
      <c r="C1118" s="41">
        <v>14.0</v>
      </c>
      <c r="D1118" s="33">
        <v>3.800205877967E12</v>
      </c>
      <c r="E1118" s="42">
        <v>1.5</v>
      </c>
      <c r="F1118" s="35">
        <v>21.0</v>
      </c>
      <c r="G1118" s="36">
        <v>1.0</v>
      </c>
      <c r="H1118" s="43">
        <f t="shared" si="333"/>
        <v>1.571428571</v>
      </c>
      <c r="I1118" s="43">
        <f t="shared" si="334"/>
        <v>22</v>
      </c>
      <c r="J1118" s="37"/>
      <c r="K1118" s="45">
        <f t="shared" si="335"/>
        <v>0</v>
      </c>
    </row>
    <row r="1119" ht="15.0" customHeight="1">
      <c r="A1119" s="163" t="s">
        <v>1365</v>
      </c>
      <c r="B1119" s="164"/>
      <c r="C1119" s="165"/>
      <c r="D1119" s="166"/>
      <c r="E1119" s="26"/>
      <c r="F1119" s="26"/>
      <c r="G1119" s="27"/>
      <c r="H1119" s="132"/>
      <c r="I1119" s="132"/>
      <c r="J1119" s="28"/>
      <c r="K1119" s="132"/>
    </row>
    <row r="1120" ht="15.0" customHeight="1">
      <c r="A1120" s="30" t="s">
        <v>1366</v>
      </c>
      <c r="B1120" s="31"/>
      <c r="C1120" s="32"/>
      <c r="D1120" s="33"/>
      <c r="E1120" s="34"/>
      <c r="F1120" s="35"/>
      <c r="G1120" s="36"/>
      <c r="H1120" s="43"/>
      <c r="I1120" s="43"/>
      <c r="J1120" s="37"/>
      <c r="K1120" s="45"/>
    </row>
    <row r="1121" ht="15.0" customHeight="1">
      <c r="A1121" s="30" t="s">
        <v>1367</v>
      </c>
      <c r="B1121" s="31"/>
      <c r="C1121" s="32"/>
      <c r="D1121" s="33"/>
      <c r="E1121" s="34"/>
      <c r="F1121" s="35"/>
      <c r="G1121" s="36"/>
      <c r="H1121" s="43"/>
      <c r="I1121" s="43"/>
      <c r="J1121" s="37"/>
      <c r="K1121" s="45"/>
    </row>
    <row r="1122" ht="15.0" customHeight="1">
      <c r="A1122" s="39" t="s">
        <v>1368</v>
      </c>
      <c r="B1122" s="40" t="s">
        <v>1369</v>
      </c>
      <c r="C1122" s="41">
        <v>6.0</v>
      </c>
      <c r="D1122" s="33">
        <v>3.760317581179E12</v>
      </c>
      <c r="E1122" s="42">
        <v>7.5</v>
      </c>
      <c r="F1122" s="35">
        <v>45.0</v>
      </c>
      <c r="G1122" s="36">
        <v>2.0</v>
      </c>
      <c r="H1122" s="43">
        <f t="shared" ref="H1122:H1124" si="336">I1122/C1122</f>
        <v>7.833333333</v>
      </c>
      <c r="I1122" s="43">
        <f t="shared" ref="I1122:I1124" si="337">F1122+G1122</f>
        <v>47</v>
      </c>
      <c r="J1122" s="37"/>
      <c r="K1122" s="45">
        <f t="shared" ref="K1122:K1124" si="338">I1122*J1122</f>
        <v>0</v>
      </c>
    </row>
    <row r="1123" ht="15.0" customHeight="1">
      <c r="A1123" s="48" t="s">
        <v>1370</v>
      </c>
      <c r="B1123" s="40" t="s">
        <v>1371</v>
      </c>
      <c r="C1123" s="41">
        <v>12.0</v>
      </c>
      <c r="D1123" s="33">
        <v>3.770038398024E12</v>
      </c>
      <c r="E1123" s="42">
        <v>4.9</v>
      </c>
      <c r="F1123" s="35">
        <f t="shared" ref="F1123:F1124" si="339">E1123*C1123</f>
        <v>58.8</v>
      </c>
      <c r="G1123" s="36">
        <v>2.0</v>
      </c>
      <c r="H1123" s="43">
        <f t="shared" si="336"/>
        <v>5.066666667</v>
      </c>
      <c r="I1123" s="43">
        <f t="shared" si="337"/>
        <v>60.8</v>
      </c>
      <c r="J1123" s="37"/>
      <c r="K1123" s="45">
        <f t="shared" si="338"/>
        <v>0</v>
      </c>
    </row>
    <row r="1124" ht="15.0" customHeight="1">
      <c r="A1124" s="48" t="s">
        <v>1372</v>
      </c>
      <c r="B1124" s="40" t="s">
        <v>1371</v>
      </c>
      <c r="C1124" s="41">
        <v>12.0</v>
      </c>
      <c r="D1124" s="33">
        <v>3.770038398031E12</v>
      </c>
      <c r="E1124" s="42">
        <v>4.9</v>
      </c>
      <c r="F1124" s="35">
        <f t="shared" si="339"/>
        <v>58.8</v>
      </c>
      <c r="G1124" s="36">
        <v>2.0</v>
      </c>
      <c r="H1124" s="43">
        <f t="shared" si="336"/>
        <v>5.066666667</v>
      </c>
      <c r="I1124" s="43">
        <f t="shared" si="337"/>
        <v>60.8</v>
      </c>
      <c r="J1124" s="37"/>
      <c r="K1124" s="45">
        <f t="shared" si="338"/>
        <v>0</v>
      </c>
    </row>
    <row r="1125" ht="15.0" customHeight="1">
      <c r="A1125" s="30" t="s">
        <v>1373</v>
      </c>
      <c r="B1125" s="31"/>
      <c r="C1125" s="32"/>
      <c r="D1125" s="33"/>
      <c r="E1125" s="42"/>
      <c r="F1125" s="35"/>
      <c r="G1125" s="36"/>
      <c r="H1125" s="43"/>
      <c r="I1125" s="43"/>
      <c r="J1125" s="37"/>
      <c r="K1125" s="45"/>
    </row>
    <row r="1126" ht="15.0" customHeight="1">
      <c r="A1126" s="48" t="s">
        <v>1374</v>
      </c>
      <c r="B1126" s="40" t="s">
        <v>1375</v>
      </c>
      <c r="C1126" s="41">
        <v>15.0</v>
      </c>
      <c r="D1126" s="33">
        <v>3.770034105046E12</v>
      </c>
      <c r="E1126" s="42">
        <v>4.35</v>
      </c>
      <c r="F1126" s="35">
        <f t="shared" ref="F1126:F1127" si="340">E1126*C1126</f>
        <v>65.25</v>
      </c>
      <c r="G1126" s="36">
        <v>5.0</v>
      </c>
      <c r="H1126" s="43">
        <f t="shared" ref="H1126:H1127" si="341">I1126/C1126</f>
        <v>4.683333333</v>
      </c>
      <c r="I1126" s="43">
        <f t="shared" ref="I1126:I1127" si="342">F1126+G1126</f>
        <v>70.25</v>
      </c>
      <c r="J1126" s="37"/>
      <c r="K1126" s="45">
        <f t="shared" ref="K1126:K1127" si="343">I1126*J1126</f>
        <v>0</v>
      </c>
    </row>
    <row r="1127" ht="15.0" customHeight="1">
      <c r="A1127" s="48" t="s">
        <v>1376</v>
      </c>
      <c r="B1127" s="40" t="s">
        <v>1377</v>
      </c>
      <c r="C1127" s="41">
        <v>12.0</v>
      </c>
      <c r="D1127" s="33">
        <v>3.770034105039E12</v>
      </c>
      <c r="E1127" s="42">
        <v>1.15</v>
      </c>
      <c r="F1127" s="35">
        <f t="shared" si="340"/>
        <v>13.8</v>
      </c>
      <c r="G1127" s="36">
        <v>1.0</v>
      </c>
      <c r="H1127" s="43">
        <f t="shared" si="341"/>
        <v>1.233333333</v>
      </c>
      <c r="I1127" s="43">
        <f t="shared" si="342"/>
        <v>14.8</v>
      </c>
      <c r="J1127" s="37"/>
      <c r="K1127" s="45">
        <f t="shared" si="343"/>
        <v>0</v>
      </c>
    </row>
    <row r="1128" ht="15.0" customHeight="1">
      <c r="A1128" s="30" t="s">
        <v>1378</v>
      </c>
      <c r="B1128" s="31"/>
      <c r="C1128" s="32"/>
      <c r="D1128" s="33"/>
      <c r="E1128" s="34"/>
      <c r="F1128" s="35"/>
      <c r="G1128" s="36"/>
      <c r="H1128" s="43"/>
      <c r="I1128" s="43"/>
      <c r="J1128" s="37"/>
      <c r="K1128" s="45"/>
    </row>
    <row r="1129" ht="15.0" customHeight="1">
      <c r="A1129" s="39" t="s">
        <v>1379</v>
      </c>
      <c r="B1129" s="40" t="s">
        <v>1371</v>
      </c>
      <c r="C1129" s="41">
        <v>12.0</v>
      </c>
      <c r="D1129" s="33">
        <v>3.760411270047E12</v>
      </c>
      <c r="E1129" s="42">
        <v>2.75</v>
      </c>
      <c r="F1129" s="35">
        <v>33.0</v>
      </c>
      <c r="G1129" s="36">
        <v>2.0</v>
      </c>
      <c r="H1129" s="43">
        <f t="shared" ref="H1129:H1132" si="344">I1129/C1129</f>
        <v>2.916666667</v>
      </c>
      <c r="I1129" s="43">
        <f t="shared" ref="I1129:I1132" si="345">F1129+G1129</f>
        <v>35</v>
      </c>
      <c r="J1129" s="37"/>
      <c r="K1129" s="45">
        <f t="shared" ref="K1129:K1132" si="346">I1129*J1129</f>
        <v>0</v>
      </c>
    </row>
    <row r="1130" ht="15.0" customHeight="1">
      <c r="A1130" s="39" t="s">
        <v>1380</v>
      </c>
      <c r="B1130" s="40" t="s">
        <v>1371</v>
      </c>
      <c r="C1130" s="41">
        <v>12.0</v>
      </c>
      <c r="D1130" s="33">
        <v>3.76041127003E12</v>
      </c>
      <c r="E1130" s="42">
        <v>2.75</v>
      </c>
      <c r="F1130" s="35">
        <v>33.0</v>
      </c>
      <c r="G1130" s="36">
        <v>2.0</v>
      </c>
      <c r="H1130" s="43">
        <f t="shared" si="344"/>
        <v>2.916666667</v>
      </c>
      <c r="I1130" s="43">
        <f t="shared" si="345"/>
        <v>35</v>
      </c>
      <c r="J1130" s="37"/>
      <c r="K1130" s="45">
        <f t="shared" si="346"/>
        <v>0</v>
      </c>
    </row>
    <row r="1131" ht="15.0" customHeight="1">
      <c r="A1131" s="39" t="s">
        <v>1381</v>
      </c>
      <c r="B1131" s="40" t="s">
        <v>1371</v>
      </c>
      <c r="C1131" s="41">
        <v>12.0</v>
      </c>
      <c r="D1131" s="33">
        <v>3.760411270023E12</v>
      </c>
      <c r="E1131" s="42">
        <v>3.95</v>
      </c>
      <c r="F1131" s="35">
        <v>47.4</v>
      </c>
      <c r="G1131" s="36">
        <v>2.0</v>
      </c>
      <c r="H1131" s="43">
        <f t="shared" si="344"/>
        <v>4.116666667</v>
      </c>
      <c r="I1131" s="43">
        <f t="shared" si="345"/>
        <v>49.4</v>
      </c>
      <c r="J1131" s="37"/>
      <c r="K1131" s="45">
        <f t="shared" si="346"/>
        <v>0</v>
      </c>
    </row>
    <row r="1132" ht="15.0" customHeight="1">
      <c r="A1132" s="39" t="s">
        <v>1382</v>
      </c>
      <c r="B1132" s="40" t="s">
        <v>1371</v>
      </c>
      <c r="C1132" s="41">
        <v>12.0</v>
      </c>
      <c r="D1132" s="33">
        <v>3.760411270016E12</v>
      </c>
      <c r="E1132" s="42">
        <v>3.15</v>
      </c>
      <c r="F1132" s="35">
        <v>37.8</v>
      </c>
      <c r="G1132" s="36">
        <v>2.0</v>
      </c>
      <c r="H1132" s="43">
        <f t="shared" si="344"/>
        <v>3.316666667</v>
      </c>
      <c r="I1132" s="43">
        <f t="shared" si="345"/>
        <v>39.8</v>
      </c>
      <c r="J1132" s="37"/>
      <c r="K1132" s="45">
        <f t="shared" si="346"/>
        <v>0</v>
      </c>
    </row>
    <row r="1133" ht="15.0" customHeight="1">
      <c r="A1133" s="30" t="s">
        <v>1383</v>
      </c>
      <c r="B1133" s="31"/>
      <c r="C1133" s="32"/>
      <c r="D1133" s="33"/>
      <c r="E1133" s="34"/>
      <c r="F1133" s="35"/>
      <c r="G1133" s="36"/>
      <c r="H1133" s="43"/>
      <c r="I1133" s="43"/>
      <c r="J1133" s="37"/>
      <c r="K1133" s="45"/>
    </row>
    <row r="1134" ht="15.0" customHeight="1">
      <c r="A1134" s="110" t="s">
        <v>1384</v>
      </c>
      <c r="B1134" s="58" t="s">
        <v>1385</v>
      </c>
      <c r="C1134" s="58">
        <v>12.0</v>
      </c>
      <c r="D1134" s="167">
        <v>3.545360000781E12</v>
      </c>
      <c r="E1134" s="56">
        <v>2.85</v>
      </c>
      <c r="F1134" s="74">
        <v>34.2</v>
      </c>
      <c r="G1134" s="36">
        <v>1.0</v>
      </c>
      <c r="H1134" s="43">
        <f t="shared" ref="H1134:H1135" si="347">I1134/C1134</f>
        <v>2.933333333</v>
      </c>
      <c r="I1134" s="43">
        <f t="shared" ref="I1134:I1135" si="348">F1134+G1134</f>
        <v>35.2</v>
      </c>
      <c r="J1134" s="37"/>
      <c r="K1134" s="45">
        <f t="shared" ref="K1134:K1135" si="349">I1134*J1134</f>
        <v>0</v>
      </c>
    </row>
    <row r="1135" ht="15.0" customHeight="1">
      <c r="A1135" s="110" t="s">
        <v>1386</v>
      </c>
      <c r="B1135" s="58" t="s">
        <v>1385</v>
      </c>
      <c r="C1135" s="58">
        <v>12.0</v>
      </c>
      <c r="D1135" s="167">
        <v>3.545360000798E12</v>
      </c>
      <c r="E1135" s="56">
        <v>2.85</v>
      </c>
      <c r="F1135" s="74">
        <v>34.2</v>
      </c>
      <c r="G1135" s="36">
        <v>1.0</v>
      </c>
      <c r="H1135" s="43">
        <f t="shared" si="347"/>
        <v>2.933333333</v>
      </c>
      <c r="I1135" s="43">
        <f t="shared" si="348"/>
        <v>35.2</v>
      </c>
      <c r="J1135" s="37"/>
      <c r="K1135" s="45">
        <f t="shared" si="349"/>
        <v>0</v>
      </c>
    </row>
    <row r="1136" ht="15.0" customHeight="1">
      <c r="A1136" s="49" t="s">
        <v>1387</v>
      </c>
      <c r="B1136" s="58"/>
      <c r="C1136" s="58"/>
      <c r="D1136" s="51"/>
      <c r="E1136" s="34"/>
      <c r="F1136" s="74"/>
      <c r="G1136" s="36"/>
      <c r="H1136" s="43"/>
      <c r="I1136" s="43"/>
      <c r="J1136" s="37"/>
      <c r="K1136" s="45"/>
    </row>
    <row r="1137" ht="15.0" customHeight="1">
      <c r="A1137" s="110" t="s">
        <v>1388</v>
      </c>
      <c r="B1137" s="58" t="s">
        <v>1389</v>
      </c>
      <c r="C1137" s="58">
        <v>12.0</v>
      </c>
      <c r="D1137" s="119" t="s">
        <v>1390</v>
      </c>
      <c r="E1137" s="56">
        <v>2.9</v>
      </c>
      <c r="F1137" s="74">
        <v>34.8</v>
      </c>
      <c r="G1137" s="36">
        <v>1.0</v>
      </c>
      <c r="H1137" s="43">
        <f t="shared" ref="H1137:H1139" si="350">I1137/C1137</f>
        <v>2.983333333</v>
      </c>
      <c r="I1137" s="43">
        <f t="shared" ref="I1137:I1139" si="351">F1137+G1137</f>
        <v>35.8</v>
      </c>
      <c r="J1137" s="37"/>
      <c r="K1137" s="45">
        <f t="shared" ref="K1137:K1139" si="352">I1137*J1137</f>
        <v>0</v>
      </c>
    </row>
    <row r="1138" ht="15.0" customHeight="1">
      <c r="A1138" s="110" t="s">
        <v>1391</v>
      </c>
      <c r="B1138" s="58" t="s">
        <v>1389</v>
      </c>
      <c r="C1138" s="58">
        <v>12.0</v>
      </c>
      <c r="D1138" s="119" t="s">
        <v>1392</v>
      </c>
      <c r="E1138" s="56">
        <v>2.9</v>
      </c>
      <c r="F1138" s="74">
        <v>34.8</v>
      </c>
      <c r="G1138" s="36">
        <v>1.0</v>
      </c>
      <c r="H1138" s="43">
        <f t="shared" si="350"/>
        <v>2.983333333</v>
      </c>
      <c r="I1138" s="43">
        <f t="shared" si="351"/>
        <v>35.8</v>
      </c>
      <c r="J1138" s="37"/>
      <c r="K1138" s="45">
        <f t="shared" si="352"/>
        <v>0</v>
      </c>
    </row>
    <row r="1139" ht="15.0" customHeight="1">
      <c r="A1139" s="110" t="s">
        <v>1393</v>
      </c>
      <c r="B1139" s="58" t="s">
        <v>1389</v>
      </c>
      <c r="C1139" s="58">
        <v>12.0</v>
      </c>
      <c r="D1139" s="119" t="s">
        <v>1394</v>
      </c>
      <c r="E1139" s="56">
        <v>2.9</v>
      </c>
      <c r="F1139" s="74">
        <v>34.8</v>
      </c>
      <c r="G1139" s="36">
        <v>1.0</v>
      </c>
      <c r="H1139" s="43">
        <f t="shared" si="350"/>
        <v>2.983333333</v>
      </c>
      <c r="I1139" s="43">
        <f t="shared" si="351"/>
        <v>35.8</v>
      </c>
      <c r="J1139" s="37"/>
      <c r="K1139" s="45">
        <f t="shared" si="352"/>
        <v>0</v>
      </c>
    </row>
    <row r="1140" ht="15.0" customHeight="1">
      <c r="A1140" s="49" t="s">
        <v>1395</v>
      </c>
      <c r="B1140" s="118"/>
      <c r="C1140" s="58"/>
      <c r="D1140" s="51"/>
      <c r="E1140" s="34"/>
      <c r="F1140" s="74"/>
      <c r="G1140" s="36"/>
      <c r="H1140" s="43"/>
      <c r="I1140" s="43"/>
      <c r="J1140" s="37"/>
      <c r="K1140" s="45"/>
    </row>
    <row r="1141" ht="15.0" customHeight="1">
      <c r="A1141" s="110" t="s">
        <v>1396</v>
      </c>
      <c r="B1141" s="118" t="s">
        <v>1300</v>
      </c>
      <c r="C1141" s="58">
        <v>20.0</v>
      </c>
      <c r="D1141" s="167">
        <v>3.760376696609E12</v>
      </c>
      <c r="E1141" s="56">
        <v>3.25</v>
      </c>
      <c r="F1141" s="74">
        <f t="shared" ref="F1141:F1145" si="353">E1141*C1141</f>
        <v>65</v>
      </c>
      <c r="G1141" s="36">
        <v>5.0</v>
      </c>
      <c r="H1141" s="43">
        <f t="shared" ref="H1141:H1145" si="354">I1141/C1141</f>
        <v>3.5</v>
      </c>
      <c r="I1141" s="43">
        <f t="shared" ref="I1141:I1145" si="355">F1141+G1141</f>
        <v>70</v>
      </c>
      <c r="J1141" s="37"/>
      <c r="K1141" s="45">
        <f t="shared" ref="K1141:K1145" si="356">I1141*J1141</f>
        <v>0</v>
      </c>
    </row>
    <row r="1142" ht="15.0" customHeight="1">
      <c r="A1142" s="110" t="s">
        <v>1397</v>
      </c>
      <c r="B1142" s="118" t="s">
        <v>1300</v>
      </c>
      <c r="C1142" s="58">
        <v>20.0</v>
      </c>
      <c r="D1142" s="167">
        <v>3.760376696654E12</v>
      </c>
      <c r="E1142" s="56">
        <v>3.25</v>
      </c>
      <c r="F1142" s="74">
        <f t="shared" si="353"/>
        <v>65</v>
      </c>
      <c r="G1142" s="36">
        <v>5.0</v>
      </c>
      <c r="H1142" s="43">
        <f t="shared" si="354"/>
        <v>3.5</v>
      </c>
      <c r="I1142" s="43">
        <f t="shared" si="355"/>
        <v>70</v>
      </c>
      <c r="J1142" s="37"/>
      <c r="K1142" s="45">
        <f t="shared" si="356"/>
        <v>0</v>
      </c>
    </row>
    <row r="1143" ht="15.0" customHeight="1">
      <c r="A1143" s="110" t="s">
        <v>1398</v>
      </c>
      <c r="B1143" s="118" t="s">
        <v>1300</v>
      </c>
      <c r="C1143" s="58">
        <v>20.0</v>
      </c>
      <c r="D1143" s="167">
        <v>3.760376696616E12</v>
      </c>
      <c r="E1143" s="56">
        <v>3.25</v>
      </c>
      <c r="F1143" s="74">
        <f t="shared" si="353"/>
        <v>65</v>
      </c>
      <c r="G1143" s="36">
        <v>5.0</v>
      </c>
      <c r="H1143" s="43">
        <f t="shared" si="354"/>
        <v>3.5</v>
      </c>
      <c r="I1143" s="43">
        <f t="shared" si="355"/>
        <v>70</v>
      </c>
      <c r="J1143" s="37"/>
      <c r="K1143" s="45">
        <f t="shared" si="356"/>
        <v>0</v>
      </c>
    </row>
    <row r="1144" ht="15.0" customHeight="1">
      <c r="A1144" s="110" t="s">
        <v>1399</v>
      </c>
      <c r="B1144" s="118" t="s">
        <v>1300</v>
      </c>
      <c r="C1144" s="58">
        <v>20.0</v>
      </c>
      <c r="D1144" s="167">
        <v>3.760376696678E12</v>
      </c>
      <c r="E1144" s="56">
        <v>3.25</v>
      </c>
      <c r="F1144" s="74">
        <f t="shared" si="353"/>
        <v>65</v>
      </c>
      <c r="G1144" s="36">
        <v>5.0</v>
      </c>
      <c r="H1144" s="43">
        <f t="shared" si="354"/>
        <v>3.5</v>
      </c>
      <c r="I1144" s="43">
        <f t="shared" si="355"/>
        <v>70</v>
      </c>
      <c r="J1144" s="37"/>
      <c r="K1144" s="45">
        <f t="shared" si="356"/>
        <v>0</v>
      </c>
    </row>
    <row r="1145" ht="15.0" customHeight="1">
      <c r="A1145" s="110" t="s">
        <v>1400</v>
      </c>
      <c r="B1145" s="118" t="s">
        <v>1300</v>
      </c>
      <c r="C1145" s="58">
        <v>20.0</v>
      </c>
      <c r="D1145" s="167">
        <v>3.760376696661E12</v>
      </c>
      <c r="E1145" s="56">
        <v>4.25</v>
      </c>
      <c r="F1145" s="74">
        <f t="shared" si="353"/>
        <v>85</v>
      </c>
      <c r="G1145" s="36">
        <v>5.0</v>
      </c>
      <c r="H1145" s="43">
        <f t="shared" si="354"/>
        <v>4.5</v>
      </c>
      <c r="I1145" s="43">
        <f t="shared" si="355"/>
        <v>90</v>
      </c>
      <c r="J1145" s="37"/>
      <c r="K1145" s="45">
        <f t="shared" si="356"/>
        <v>0</v>
      </c>
    </row>
    <row r="1146" ht="15.0" customHeight="1">
      <c r="A1146" s="154" t="s">
        <v>1401</v>
      </c>
      <c r="B1146" s="168"/>
      <c r="C1146" s="168"/>
      <c r="D1146" s="169"/>
      <c r="E1146" s="34"/>
      <c r="F1146" s="34"/>
      <c r="G1146" s="36"/>
      <c r="H1146" s="43"/>
      <c r="I1146" s="43"/>
      <c r="J1146" s="47"/>
      <c r="K1146" s="45"/>
    </row>
    <row r="1147" ht="15.0" customHeight="1">
      <c r="A1147" s="48" t="s">
        <v>1402</v>
      </c>
      <c r="B1147" s="40" t="s">
        <v>1227</v>
      </c>
      <c r="C1147" s="41">
        <v>40.0</v>
      </c>
      <c r="D1147" s="33">
        <v>8.683280725485E12</v>
      </c>
      <c r="E1147" s="42">
        <v>6.5</v>
      </c>
      <c r="F1147" s="35">
        <f t="shared" ref="F1147:F1149" si="357">E1147*C1147</f>
        <v>260</v>
      </c>
      <c r="G1147" s="36">
        <v>15.0</v>
      </c>
      <c r="H1147" s="43">
        <f t="shared" ref="H1147:H1157" si="358">I1147/C1147</f>
        <v>6.875</v>
      </c>
      <c r="I1147" s="43">
        <f t="shared" ref="I1147:I1157" si="359">F1147+G1147</f>
        <v>275</v>
      </c>
      <c r="J1147" s="37"/>
      <c r="K1147" s="45">
        <f t="shared" ref="K1147:K1157" si="360">I1147*J1147</f>
        <v>0</v>
      </c>
    </row>
    <row r="1148" ht="15.0" customHeight="1">
      <c r="A1148" s="48" t="s">
        <v>1403</v>
      </c>
      <c r="B1148" s="40" t="s">
        <v>1227</v>
      </c>
      <c r="C1148" s="41">
        <v>40.0</v>
      </c>
      <c r="D1148" s="33">
        <v>8.683280725461E12</v>
      </c>
      <c r="E1148" s="42">
        <v>6.5</v>
      </c>
      <c r="F1148" s="35">
        <f t="shared" si="357"/>
        <v>260</v>
      </c>
      <c r="G1148" s="36">
        <v>15.0</v>
      </c>
      <c r="H1148" s="43">
        <f t="shared" si="358"/>
        <v>6.875</v>
      </c>
      <c r="I1148" s="43">
        <f t="shared" si="359"/>
        <v>275</v>
      </c>
      <c r="J1148" s="37"/>
      <c r="K1148" s="45">
        <f t="shared" si="360"/>
        <v>0</v>
      </c>
    </row>
    <row r="1149" ht="17.25" customHeight="1">
      <c r="A1149" s="48" t="s">
        <v>1404</v>
      </c>
      <c r="B1149" s="40" t="s">
        <v>1227</v>
      </c>
      <c r="C1149" s="41">
        <v>40.0</v>
      </c>
      <c r="D1149" s="33">
        <v>8.683280725409E12</v>
      </c>
      <c r="E1149" s="42">
        <v>6.5</v>
      </c>
      <c r="F1149" s="35">
        <f t="shared" si="357"/>
        <v>260</v>
      </c>
      <c r="G1149" s="36">
        <v>15.0</v>
      </c>
      <c r="H1149" s="43">
        <f t="shared" si="358"/>
        <v>6.875</v>
      </c>
      <c r="I1149" s="43">
        <f t="shared" si="359"/>
        <v>275</v>
      </c>
      <c r="J1149" s="37"/>
      <c r="K1149" s="45">
        <f t="shared" si="360"/>
        <v>0</v>
      </c>
    </row>
    <row r="1150" ht="15.0" customHeight="1">
      <c r="A1150" s="53" t="s">
        <v>1405</v>
      </c>
      <c r="B1150" s="58" t="s">
        <v>1175</v>
      </c>
      <c r="C1150" s="58">
        <v>12.0</v>
      </c>
      <c r="D1150" s="90"/>
      <c r="E1150" s="56">
        <v>3.75</v>
      </c>
      <c r="F1150" s="74">
        <v>45.0</v>
      </c>
      <c r="G1150" s="36">
        <v>5.0</v>
      </c>
      <c r="H1150" s="43">
        <f t="shared" si="358"/>
        <v>4.166666667</v>
      </c>
      <c r="I1150" s="43">
        <f t="shared" si="359"/>
        <v>50</v>
      </c>
      <c r="J1150" s="37"/>
      <c r="K1150" s="45">
        <f t="shared" si="360"/>
        <v>0</v>
      </c>
    </row>
    <row r="1151" ht="15.0" customHeight="1">
      <c r="A1151" s="52" t="s">
        <v>1406</v>
      </c>
      <c r="B1151" s="58">
        <v>75.0</v>
      </c>
      <c r="C1151" s="58">
        <v>24.0</v>
      </c>
      <c r="D1151" s="51" t="s">
        <v>1407</v>
      </c>
      <c r="E1151" s="56">
        <v>1.15</v>
      </c>
      <c r="F1151" s="74">
        <v>27.6</v>
      </c>
      <c r="G1151" s="36">
        <v>1.0</v>
      </c>
      <c r="H1151" s="43">
        <f t="shared" si="358"/>
        <v>1.191666667</v>
      </c>
      <c r="I1151" s="43">
        <f t="shared" si="359"/>
        <v>28.6</v>
      </c>
      <c r="J1151" s="37"/>
      <c r="K1151" s="45">
        <f t="shared" si="360"/>
        <v>0</v>
      </c>
    </row>
    <row r="1152" ht="15.0" customHeight="1">
      <c r="A1152" s="52" t="s">
        <v>1408</v>
      </c>
      <c r="B1152" s="58" t="s">
        <v>1371</v>
      </c>
      <c r="C1152" s="58">
        <v>15.0</v>
      </c>
      <c r="D1152" s="51" t="s">
        <v>1409</v>
      </c>
      <c r="E1152" s="56">
        <v>2.2</v>
      </c>
      <c r="F1152" s="74">
        <v>33.0</v>
      </c>
      <c r="G1152" s="36">
        <v>1.0</v>
      </c>
      <c r="H1152" s="43">
        <f t="shared" si="358"/>
        <v>2.266666667</v>
      </c>
      <c r="I1152" s="43">
        <f t="shared" si="359"/>
        <v>34</v>
      </c>
      <c r="J1152" s="37"/>
      <c r="K1152" s="45">
        <f t="shared" si="360"/>
        <v>0</v>
      </c>
    </row>
    <row r="1153" ht="15.0" customHeight="1">
      <c r="A1153" s="52" t="s">
        <v>1410</v>
      </c>
      <c r="B1153" s="58" t="s">
        <v>1130</v>
      </c>
      <c r="C1153" s="58">
        <v>30.0</v>
      </c>
      <c r="D1153" s="51" t="s">
        <v>1411</v>
      </c>
      <c r="E1153" s="56">
        <v>2.05</v>
      </c>
      <c r="F1153" s="74">
        <v>61.5</v>
      </c>
      <c r="G1153" s="36">
        <v>3.0</v>
      </c>
      <c r="H1153" s="43">
        <f t="shared" si="358"/>
        <v>2.15</v>
      </c>
      <c r="I1153" s="43">
        <f t="shared" si="359"/>
        <v>64.5</v>
      </c>
      <c r="J1153" s="37"/>
      <c r="K1153" s="45">
        <f t="shared" si="360"/>
        <v>0</v>
      </c>
    </row>
    <row r="1154" ht="15.0" customHeight="1">
      <c r="A1154" s="52" t="s">
        <v>1412</v>
      </c>
      <c r="B1154" s="58" t="s">
        <v>1341</v>
      </c>
      <c r="C1154" s="58">
        <v>36.0</v>
      </c>
      <c r="D1154" s="51" t="s">
        <v>1413</v>
      </c>
      <c r="E1154" s="56">
        <v>0.55</v>
      </c>
      <c r="F1154" s="74">
        <v>19.8</v>
      </c>
      <c r="G1154" s="36">
        <v>1.0</v>
      </c>
      <c r="H1154" s="43">
        <f t="shared" si="358"/>
        <v>0.5777777778</v>
      </c>
      <c r="I1154" s="43">
        <f t="shared" si="359"/>
        <v>20.8</v>
      </c>
      <c r="J1154" s="37"/>
      <c r="K1154" s="45">
        <f t="shared" si="360"/>
        <v>0</v>
      </c>
    </row>
    <row r="1155" ht="15.0" customHeight="1">
      <c r="A1155" s="52" t="s">
        <v>1414</v>
      </c>
      <c r="B1155" s="58" t="s">
        <v>1415</v>
      </c>
      <c r="C1155" s="58">
        <v>24.0</v>
      </c>
      <c r="D1155" s="51">
        <v>3.03371000076E12</v>
      </c>
      <c r="E1155" s="56">
        <v>0.65</v>
      </c>
      <c r="F1155" s="74">
        <v>15.6</v>
      </c>
      <c r="G1155" s="36">
        <v>1.0</v>
      </c>
      <c r="H1155" s="43">
        <f t="shared" si="358"/>
        <v>0.6916666667</v>
      </c>
      <c r="I1155" s="43">
        <f t="shared" si="359"/>
        <v>16.6</v>
      </c>
      <c r="J1155" s="37"/>
      <c r="K1155" s="45">
        <f t="shared" si="360"/>
        <v>0</v>
      </c>
    </row>
    <row r="1156" ht="15.0" customHeight="1">
      <c r="A1156" s="52" t="s">
        <v>1416</v>
      </c>
      <c r="B1156" s="58" t="s">
        <v>1415</v>
      </c>
      <c r="C1156" s="58">
        <v>24.0</v>
      </c>
      <c r="D1156" s="51">
        <v>8.437018739035E12</v>
      </c>
      <c r="E1156" s="56">
        <v>0.65</v>
      </c>
      <c r="F1156" s="74">
        <v>15.6</v>
      </c>
      <c r="G1156" s="36">
        <v>1.0</v>
      </c>
      <c r="H1156" s="43">
        <f t="shared" si="358"/>
        <v>0.6916666667</v>
      </c>
      <c r="I1156" s="43">
        <f t="shared" si="359"/>
        <v>16.6</v>
      </c>
      <c r="J1156" s="37"/>
      <c r="K1156" s="45">
        <f t="shared" si="360"/>
        <v>0</v>
      </c>
    </row>
    <row r="1157" ht="15.0" customHeight="1">
      <c r="A1157" s="52" t="s">
        <v>1417</v>
      </c>
      <c r="B1157" s="58" t="s">
        <v>1418</v>
      </c>
      <c r="C1157" s="58">
        <v>24.0</v>
      </c>
      <c r="D1157" s="51" t="s">
        <v>1419</v>
      </c>
      <c r="E1157" s="56">
        <v>1.25</v>
      </c>
      <c r="F1157" s="74">
        <v>30.0</v>
      </c>
      <c r="G1157" s="36">
        <v>1.0</v>
      </c>
      <c r="H1157" s="43">
        <f t="shared" si="358"/>
        <v>1.291666667</v>
      </c>
      <c r="I1157" s="43">
        <f t="shared" si="359"/>
        <v>31</v>
      </c>
      <c r="J1157" s="37"/>
      <c r="K1157" s="45">
        <f t="shared" si="360"/>
        <v>0</v>
      </c>
    </row>
    <row r="1158" ht="15.0" customHeight="1">
      <c r="A1158" s="170" t="s">
        <v>1420</v>
      </c>
      <c r="B1158" s="77"/>
      <c r="C1158" s="77"/>
      <c r="D1158" s="78"/>
      <c r="E1158" s="79"/>
      <c r="F1158" s="79"/>
      <c r="G1158" s="36"/>
      <c r="H1158" s="43"/>
      <c r="I1158" s="43"/>
      <c r="J1158" s="37"/>
      <c r="K1158" s="45"/>
    </row>
    <row r="1159" ht="15.0" customHeight="1">
      <c r="A1159" s="116" t="s">
        <v>1421</v>
      </c>
      <c r="B1159" s="40" t="s">
        <v>1418</v>
      </c>
      <c r="C1159" s="40">
        <v>10.0</v>
      </c>
      <c r="D1159" s="90">
        <v>8.888077109152E12</v>
      </c>
      <c r="E1159" s="64">
        <v>1.35</v>
      </c>
      <c r="F1159" s="57">
        <f t="shared" ref="F1159:F1161" si="361">C1159*E1159</f>
        <v>13.5</v>
      </c>
      <c r="G1159" s="36">
        <v>1.0</v>
      </c>
      <c r="H1159" s="43">
        <f t="shared" ref="H1159:H1161" si="362">I1159/C1159</f>
        <v>1.45</v>
      </c>
      <c r="I1159" s="43">
        <f t="shared" ref="I1159:I1161" si="363">F1159+G1159</f>
        <v>14.5</v>
      </c>
      <c r="J1159" s="37"/>
      <c r="K1159" s="45">
        <f t="shared" ref="K1159:K1161" si="364">I1159*J1159</f>
        <v>0</v>
      </c>
    </row>
    <row r="1160" ht="15.0" customHeight="1">
      <c r="A1160" s="116" t="s">
        <v>1422</v>
      </c>
      <c r="B1160" s="40" t="s">
        <v>1418</v>
      </c>
      <c r="C1160" s="40">
        <v>10.0</v>
      </c>
      <c r="D1160" s="90">
        <v>8.888077109183E12</v>
      </c>
      <c r="E1160" s="64">
        <v>1.35</v>
      </c>
      <c r="F1160" s="57">
        <f t="shared" si="361"/>
        <v>13.5</v>
      </c>
      <c r="G1160" s="36">
        <v>1.0</v>
      </c>
      <c r="H1160" s="43">
        <f t="shared" si="362"/>
        <v>1.45</v>
      </c>
      <c r="I1160" s="43">
        <f t="shared" si="363"/>
        <v>14.5</v>
      </c>
      <c r="J1160" s="37"/>
      <c r="K1160" s="45">
        <f t="shared" si="364"/>
        <v>0</v>
      </c>
    </row>
    <row r="1161" ht="15.0" customHeight="1">
      <c r="A1161" s="116" t="s">
        <v>1423</v>
      </c>
      <c r="B1161" s="40" t="s">
        <v>1418</v>
      </c>
      <c r="C1161" s="40">
        <v>10.0</v>
      </c>
      <c r="D1161" s="90">
        <v>8.888077109206E12</v>
      </c>
      <c r="E1161" s="64">
        <v>1.35</v>
      </c>
      <c r="F1161" s="57">
        <f t="shared" si="361"/>
        <v>13.5</v>
      </c>
      <c r="G1161" s="36">
        <v>1.0</v>
      </c>
      <c r="H1161" s="43">
        <f t="shared" si="362"/>
        <v>1.45</v>
      </c>
      <c r="I1161" s="43">
        <f t="shared" si="363"/>
        <v>14.5</v>
      </c>
      <c r="J1161" s="37"/>
      <c r="K1161" s="45">
        <f t="shared" si="364"/>
        <v>0</v>
      </c>
    </row>
    <row r="1162" ht="15.0" customHeight="1">
      <c r="A1162" s="171" t="s">
        <v>1424</v>
      </c>
      <c r="B1162" s="58"/>
      <c r="C1162" s="58"/>
      <c r="D1162" s="51"/>
      <c r="E1162" s="34"/>
      <c r="F1162" s="74"/>
      <c r="G1162" s="36"/>
      <c r="H1162" s="43"/>
      <c r="I1162" s="43"/>
      <c r="J1162" s="37"/>
      <c r="K1162" s="45"/>
    </row>
    <row r="1163" ht="15.0" customHeight="1">
      <c r="A1163" s="110" t="s">
        <v>1425</v>
      </c>
      <c r="B1163" s="58" t="s">
        <v>1315</v>
      </c>
      <c r="C1163" s="58">
        <v>18.0</v>
      </c>
      <c r="D1163" s="119">
        <v>3.545360207067E12</v>
      </c>
      <c r="E1163" s="56">
        <v>1.5</v>
      </c>
      <c r="F1163" s="74">
        <f t="shared" ref="F1163:F1164" si="365">C1163*E1163</f>
        <v>27</v>
      </c>
      <c r="G1163" s="36">
        <v>1.0</v>
      </c>
      <c r="H1163" s="43">
        <f t="shared" ref="H1163:H1168" si="366">I1163/C1163</f>
        <v>1.555555556</v>
      </c>
      <c r="I1163" s="43">
        <f t="shared" ref="I1163:I1168" si="367">F1163+G1163</f>
        <v>28</v>
      </c>
      <c r="J1163" s="37"/>
      <c r="K1163" s="45">
        <f t="shared" ref="K1163:K1168" si="368">I1163*J1163</f>
        <v>0</v>
      </c>
    </row>
    <row r="1164" ht="15.0" customHeight="1">
      <c r="A1164" s="110" t="s">
        <v>1426</v>
      </c>
      <c r="B1164" s="58" t="s">
        <v>1335</v>
      </c>
      <c r="C1164" s="58">
        <v>18.0</v>
      </c>
      <c r="D1164" s="119">
        <v>3.545360207074E12</v>
      </c>
      <c r="E1164" s="56">
        <v>1.5</v>
      </c>
      <c r="F1164" s="74">
        <f t="shared" si="365"/>
        <v>27</v>
      </c>
      <c r="G1164" s="36">
        <v>1.0</v>
      </c>
      <c r="H1164" s="43">
        <f t="shared" si="366"/>
        <v>1.555555556</v>
      </c>
      <c r="I1164" s="43">
        <f t="shared" si="367"/>
        <v>28</v>
      </c>
      <c r="J1164" s="37"/>
      <c r="K1164" s="45">
        <f t="shared" si="368"/>
        <v>0</v>
      </c>
    </row>
    <row r="1165" ht="15.0" customHeight="1">
      <c r="A1165" s="172" t="s">
        <v>1427</v>
      </c>
      <c r="B1165" s="58" t="s">
        <v>1428</v>
      </c>
      <c r="C1165" s="58">
        <v>14.0</v>
      </c>
      <c r="D1165" s="119">
        <v>3.545360000972E12</v>
      </c>
      <c r="E1165" s="56">
        <v>1.85</v>
      </c>
      <c r="F1165" s="74">
        <v>25.9</v>
      </c>
      <c r="G1165" s="36">
        <v>1.0</v>
      </c>
      <c r="H1165" s="43">
        <f t="shared" si="366"/>
        <v>1.921428571</v>
      </c>
      <c r="I1165" s="43">
        <f t="shared" si="367"/>
        <v>26.9</v>
      </c>
      <c r="J1165" s="37"/>
      <c r="K1165" s="45">
        <f t="shared" si="368"/>
        <v>0</v>
      </c>
    </row>
    <row r="1166" ht="15.0" customHeight="1">
      <c r="A1166" s="172" t="s">
        <v>1429</v>
      </c>
      <c r="B1166" s="58" t="s">
        <v>1428</v>
      </c>
      <c r="C1166" s="58">
        <v>14.0</v>
      </c>
      <c r="D1166" s="119">
        <v>3.545360000989E12</v>
      </c>
      <c r="E1166" s="56">
        <v>1.85</v>
      </c>
      <c r="F1166" s="74">
        <v>25.9</v>
      </c>
      <c r="G1166" s="36">
        <v>1.0</v>
      </c>
      <c r="H1166" s="43">
        <f t="shared" si="366"/>
        <v>1.921428571</v>
      </c>
      <c r="I1166" s="43">
        <f t="shared" si="367"/>
        <v>26.9</v>
      </c>
      <c r="J1166" s="37"/>
      <c r="K1166" s="45">
        <f t="shared" si="368"/>
        <v>0</v>
      </c>
    </row>
    <row r="1167" ht="15.0" customHeight="1">
      <c r="A1167" s="48" t="s">
        <v>1430</v>
      </c>
      <c r="B1167" s="58" t="s">
        <v>1431</v>
      </c>
      <c r="C1167" s="58">
        <v>12.0</v>
      </c>
      <c r="D1167" s="119">
        <v>3.54536000091E12</v>
      </c>
      <c r="E1167" s="56">
        <v>2.65</v>
      </c>
      <c r="F1167" s="74">
        <v>31.8</v>
      </c>
      <c r="G1167" s="36">
        <v>1.0</v>
      </c>
      <c r="H1167" s="43">
        <f t="shared" si="366"/>
        <v>2.733333333</v>
      </c>
      <c r="I1167" s="43">
        <f t="shared" si="367"/>
        <v>32.8</v>
      </c>
      <c r="J1167" s="37"/>
      <c r="K1167" s="45">
        <f t="shared" si="368"/>
        <v>0</v>
      </c>
    </row>
    <row r="1168" ht="15.0" customHeight="1">
      <c r="A1168" s="110" t="s">
        <v>1432</v>
      </c>
      <c r="B1168" s="58" t="s">
        <v>1433</v>
      </c>
      <c r="C1168" s="58">
        <v>12.0</v>
      </c>
      <c r="D1168" s="119">
        <v>3.5453600002E12</v>
      </c>
      <c r="E1168" s="56">
        <v>3.65</v>
      </c>
      <c r="F1168" s="74">
        <v>43.8</v>
      </c>
      <c r="G1168" s="36">
        <v>1.0</v>
      </c>
      <c r="H1168" s="43">
        <f t="shared" si="366"/>
        <v>3.733333333</v>
      </c>
      <c r="I1168" s="43">
        <f t="shared" si="367"/>
        <v>44.8</v>
      </c>
      <c r="J1168" s="37"/>
      <c r="K1168" s="45">
        <f t="shared" si="368"/>
        <v>0</v>
      </c>
    </row>
    <row r="1169" ht="15.0" customHeight="1">
      <c r="A1169" s="173" t="s">
        <v>1434</v>
      </c>
      <c r="B1169" s="58"/>
      <c r="C1169" s="58"/>
      <c r="D1169" s="51"/>
      <c r="E1169" s="34"/>
      <c r="F1169" s="35"/>
      <c r="G1169" s="36"/>
      <c r="H1169" s="43"/>
      <c r="I1169" s="43"/>
      <c r="J1169" s="37"/>
      <c r="K1169" s="45"/>
    </row>
    <row r="1170" ht="15.0" customHeight="1">
      <c r="A1170" s="52" t="s">
        <v>1435</v>
      </c>
      <c r="B1170" s="58" t="s">
        <v>1418</v>
      </c>
      <c r="C1170" s="58">
        <v>35.0</v>
      </c>
      <c r="D1170" s="51" t="s">
        <v>1436</v>
      </c>
      <c r="E1170" s="42">
        <v>1.35</v>
      </c>
      <c r="F1170" s="35">
        <v>47.25</v>
      </c>
      <c r="G1170" s="36">
        <v>1.0</v>
      </c>
      <c r="H1170" s="43">
        <f t="shared" ref="H1170:H1172" si="369">I1170/C1170</f>
        <v>1.378571429</v>
      </c>
      <c r="I1170" s="43">
        <f t="shared" ref="I1170:I1172" si="370">F1170+G1170</f>
        <v>48.25</v>
      </c>
      <c r="J1170" s="37"/>
      <c r="K1170" s="45">
        <f t="shared" ref="K1170:K1172" si="371">I1170*J1170</f>
        <v>0</v>
      </c>
    </row>
    <row r="1171" ht="15.0" customHeight="1">
      <c r="A1171" s="52" t="s">
        <v>1437</v>
      </c>
      <c r="B1171" s="58" t="s">
        <v>1438</v>
      </c>
      <c r="C1171" s="58">
        <v>35.0</v>
      </c>
      <c r="D1171" s="51" t="s">
        <v>1439</v>
      </c>
      <c r="E1171" s="42">
        <v>1.35</v>
      </c>
      <c r="F1171" s="35">
        <v>47.25</v>
      </c>
      <c r="G1171" s="36">
        <v>1.0</v>
      </c>
      <c r="H1171" s="43">
        <f t="shared" si="369"/>
        <v>1.378571429</v>
      </c>
      <c r="I1171" s="43">
        <f t="shared" si="370"/>
        <v>48.25</v>
      </c>
      <c r="J1171" s="37"/>
      <c r="K1171" s="45">
        <f t="shared" si="371"/>
        <v>0</v>
      </c>
    </row>
    <row r="1172" ht="15.0" customHeight="1">
      <c r="A1172" s="52" t="s">
        <v>1440</v>
      </c>
      <c r="B1172" s="58" t="s">
        <v>1438</v>
      </c>
      <c r="C1172" s="58">
        <v>35.0</v>
      </c>
      <c r="D1172" s="51" t="s">
        <v>1441</v>
      </c>
      <c r="E1172" s="42">
        <v>1.35</v>
      </c>
      <c r="F1172" s="35">
        <v>47.25</v>
      </c>
      <c r="G1172" s="36">
        <v>1.0</v>
      </c>
      <c r="H1172" s="43">
        <f t="shared" si="369"/>
        <v>1.378571429</v>
      </c>
      <c r="I1172" s="43">
        <f t="shared" si="370"/>
        <v>48.25</v>
      </c>
      <c r="J1172" s="37"/>
      <c r="K1172" s="45">
        <f t="shared" si="371"/>
        <v>0</v>
      </c>
    </row>
    <row r="1173" ht="15.0" customHeight="1">
      <c r="A1173" s="49" t="s">
        <v>1442</v>
      </c>
      <c r="B1173" s="31"/>
      <c r="C1173" s="32"/>
      <c r="D1173" s="33"/>
      <c r="E1173" s="174"/>
      <c r="F1173" s="35"/>
      <c r="G1173" s="36"/>
      <c r="H1173" s="43"/>
      <c r="I1173" s="43"/>
      <c r="J1173" s="37"/>
      <c r="K1173" s="45"/>
    </row>
    <row r="1174" ht="15.0" customHeight="1">
      <c r="A1174" s="48" t="s">
        <v>1443</v>
      </c>
      <c r="B1174" s="40" t="s">
        <v>1234</v>
      </c>
      <c r="C1174" s="41">
        <v>18.0</v>
      </c>
      <c r="D1174" s="33">
        <v>3.701786000754E12</v>
      </c>
      <c r="E1174" s="42">
        <v>1.75</v>
      </c>
      <c r="F1174" s="35">
        <f t="shared" ref="F1174:F1179" si="372">E1174*C1174</f>
        <v>31.5</v>
      </c>
      <c r="G1174" s="36">
        <v>1.0</v>
      </c>
      <c r="H1174" s="43">
        <f t="shared" ref="H1174:H1179" si="373">I1174/C1174</f>
        <v>1.805555556</v>
      </c>
      <c r="I1174" s="43">
        <f t="shared" ref="I1174:I1179" si="374">F1174+G1174</f>
        <v>32.5</v>
      </c>
      <c r="J1174" s="47"/>
      <c r="K1174" s="45">
        <f t="shared" ref="K1174:K1179" si="375">I1174*J1174</f>
        <v>0</v>
      </c>
      <c r="L1174" s="46"/>
      <c r="M1174" s="46"/>
    </row>
    <row r="1175" ht="15.0" customHeight="1">
      <c r="A1175" s="48" t="s">
        <v>1444</v>
      </c>
      <c r="B1175" s="40" t="s">
        <v>1234</v>
      </c>
      <c r="C1175" s="41">
        <v>18.0</v>
      </c>
      <c r="D1175" s="33">
        <v>3.701786000778E12</v>
      </c>
      <c r="E1175" s="42">
        <v>1.75</v>
      </c>
      <c r="F1175" s="35">
        <f t="shared" si="372"/>
        <v>31.5</v>
      </c>
      <c r="G1175" s="36">
        <v>1.0</v>
      </c>
      <c r="H1175" s="43">
        <f t="shared" si="373"/>
        <v>1.805555556</v>
      </c>
      <c r="I1175" s="43">
        <f t="shared" si="374"/>
        <v>32.5</v>
      </c>
      <c r="J1175" s="47"/>
      <c r="K1175" s="45">
        <f t="shared" si="375"/>
        <v>0</v>
      </c>
      <c r="L1175" s="46"/>
      <c r="M1175" s="46"/>
    </row>
    <row r="1176" ht="15.0" customHeight="1">
      <c r="A1176" s="48" t="s">
        <v>1445</v>
      </c>
      <c r="B1176" s="40" t="s">
        <v>1234</v>
      </c>
      <c r="C1176" s="41">
        <v>18.0</v>
      </c>
      <c r="D1176" s="33">
        <v>3.701786000839E12</v>
      </c>
      <c r="E1176" s="42">
        <v>1.75</v>
      </c>
      <c r="F1176" s="35">
        <f t="shared" si="372"/>
        <v>31.5</v>
      </c>
      <c r="G1176" s="36">
        <v>1.0</v>
      </c>
      <c r="H1176" s="43">
        <f t="shared" si="373"/>
        <v>1.805555556</v>
      </c>
      <c r="I1176" s="43">
        <f t="shared" si="374"/>
        <v>32.5</v>
      </c>
      <c r="J1176" s="47"/>
      <c r="K1176" s="45">
        <f t="shared" si="375"/>
        <v>0</v>
      </c>
      <c r="L1176" s="46"/>
      <c r="M1176" s="46"/>
    </row>
    <row r="1177" ht="15.0" customHeight="1">
      <c r="A1177" s="48" t="s">
        <v>1446</v>
      </c>
      <c r="B1177" s="40" t="s">
        <v>1234</v>
      </c>
      <c r="C1177" s="41">
        <v>18.0</v>
      </c>
      <c r="D1177" s="33">
        <v>3.701786000808E12</v>
      </c>
      <c r="E1177" s="42">
        <v>1.75</v>
      </c>
      <c r="F1177" s="35">
        <f t="shared" si="372"/>
        <v>31.5</v>
      </c>
      <c r="G1177" s="36">
        <v>1.0</v>
      </c>
      <c r="H1177" s="43">
        <f t="shared" si="373"/>
        <v>1.805555556</v>
      </c>
      <c r="I1177" s="43">
        <f t="shared" si="374"/>
        <v>32.5</v>
      </c>
      <c r="J1177" s="47"/>
      <c r="K1177" s="45">
        <f t="shared" si="375"/>
        <v>0</v>
      </c>
      <c r="L1177" s="46"/>
      <c r="M1177" s="46"/>
    </row>
    <row r="1178" ht="15.0" customHeight="1">
      <c r="A1178" s="48" t="s">
        <v>1447</v>
      </c>
      <c r="B1178" s="40" t="s">
        <v>1234</v>
      </c>
      <c r="C1178" s="41">
        <v>18.0</v>
      </c>
      <c r="D1178" s="33">
        <v>3.701786000747E12</v>
      </c>
      <c r="E1178" s="42">
        <v>1.75</v>
      </c>
      <c r="F1178" s="35">
        <f t="shared" si="372"/>
        <v>31.5</v>
      </c>
      <c r="G1178" s="36">
        <v>1.0</v>
      </c>
      <c r="H1178" s="43">
        <f t="shared" si="373"/>
        <v>1.805555556</v>
      </c>
      <c r="I1178" s="43">
        <f t="shared" si="374"/>
        <v>32.5</v>
      </c>
      <c r="J1178" s="47"/>
      <c r="K1178" s="45">
        <f t="shared" si="375"/>
        <v>0</v>
      </c>
      <c r="L1178" s="46"/>
      <c r="M1178" s="46"/>
    </row>
    <row r="1179" ht="15.0" customHeight="1">
      <c r="A1179" s="48" t="s">
        <v>1448</v>
      </c>
      <c r="B1179" s="40" t="s">
        <v>1234</v>
      </c>
      <c r="C1179" s="41">
        <v>18.0</v>
      </c>
      <c r="D1179" s="33">
        <v>3.70178600073E12</v>
      </c>
      <c r="E1179" s="42">
        <v>1.75</v>
      </c>
      <c r="F1179" s="35">
        <f t="shared" si="372"/>
        <v>31.5</v>
      </c>
      <c r="G1179" s="36">
        <v>1.0</v>
      </c>
      <c r="H1179" s="43">
        <f t="shared" si="373"/>
        <v>1.805555556</v>
      </c>
      <c r="I1179" s="43">
        <f t="shared" si="374"/>
        <v>32.5</v>
      </c>
      <c r="J1179" s="47"/>
      <c r="K1179" s="45">
        <f t="shared" si="375"/>
        <v>0</v>
      </c>
      <c r="L1179" s="46"/>
      <c r="M1179" s="46"/>
    </row>
    <row r="1180" ht="15.0" customHeight="1">
      <c r="A1180" s="49" t="s">
        <v>1449</v>
      </c>
      <c r="B1180" s="31"/>
      <c r="C1180" s="32"/>
      <c r="D1180" s="33"/>
      <c r="E1180" s="174"/>
      <c r="F1180" s="35"/>
      <c r="G1180" s="36"/>
      <c r="H1180" s="43"/>
      <c r="I1180" s="43"/>
      <c r="J1180" s="37"/>
      <c r="K1180" s="45"/>
    </row>
    <row r="1181" ht="15.0" customHeight="1">
      <c r="A1181" s="48" t="s">
        <v>1450</v>
      </c>
      <c r="B1181" s="40" t="s">
        <v>1234</v>
      </c>
      <c r="C1181" s="41">
        <v>10.0</v>
      </c>
      <c r="D1181" s="175">
        <v>1.230000168465E12</v>
      </c>
      <c r="E1181" s="42">
        <v>2.6</v>
      </c>
      <c r="F1181" s="35">
        <v>26.0</v>
      </c>
      <c r="G1181" s="36">
        <v>1.0</v>
      </c>
      <c r="H1181" s="43">
        <f t="shared" ref="H1181:H1184" si="376">I1181/C1181</f>
        <v>2.7</v>
      </c>
      <c r="I1181" s="43">
        <f t="shared" ref="I1181:I1184" si="377">F1181+G1181</f>
        <v>27</v>
      </c>
      <c r="J1181" s="37"/>
      <c r="K1181" s="45">
        <f t="shared" ref="K1181:K1184" si="378">I1181*J1181</f>
        <v>0</v>
      </c>
    </row>
    <row r="1182" ht="15.0" customHeight="1">
      <c r="A1182" s="48" t="s">
        <v>1451</v>
      </c>
      <c r="B1182" s="40" t="s">
        <v>1234</v>
      </c>
      <c r="C1182" s="41">
        <v>10.0</v>
      </c>
      <c r="D1182" s="175">
        <v>1.230000168045E12</v>
      </c>
      <c r="E1182" s="42">
        <v>2.6</v>
      </c>
      <c r="F1182" s="35">
        <v>26.0</v>
      </c>
      <c r="G1182" s="36">
        <v>1.0</v>
      </c>
      <c r="H1182" s="43">
        <f t="shared" si="376"/>
        <v>2.7</v>
      </c>
      <c r="I1182" s="43">
        <f t="shared" si="377"/>
        <v>27</v>
      </c>
      <c r="J1182" s="37"/>
      <c r="K1182" s="45">
        <f t="shared" si="378"/>
        <v>0</v>
      </c>
    </row>
    <row r="1183" ht="15.0" customHeight="1">
      <c r="A1183" s="48" t="s">
        <v>1452</v>
      </c>
      <c r="B1183" s="40" t="s">
        <v>1234</v>
      </c>
      <c r="C1183" s="41">
        <v>10.0</v>
      </c>
      <c r="D1183" s="175">
        <v>1.230000168007E12</v>
      </c>
      <c r="E1183" s="42">
        <v>2.6</v>
      </c>
      <c r="F1183" s="35">
        <v>26.0</v>
      </c>
      <c r="G1183" s="36">
        <v>1.0</v>
      </c>
      <c r="H1183" s="43">
        <f t="shared" si="376"/>
        <v>2.7</v>
      </c>
      <c r="I1183" s="43">
        <f t="shared" si="377"/>
        <v>27</v>
      </c>
      <c r="J1183" s="37"/>
      <c r="K1183" s="45">
        <f t="shared" si="378"/>
        <v>0</v>
      </c>
    </row>
    <row r="1184" ht="15.0" customHeight="1">
      <c r="A1184" s="48" t="s">
        <v>1453</v>
      </c>
      <c r="B1184" s="40" t="s">
        <v>1234</v>
      </c>
      <c r="C1184" s="41">
        <v>10.0</v>
      </c>
      <c r="D1184" s="175">
        <v>1.230000168021E12</v>
      </c>
      <c r="E1184" s="42">
        <v>2.6</v>
      </c>
      <c r="F1184" s="35">
        <v>26.0</v>
      </c>
      <c r="G1184" s="36">
        <v>1.0</v>
      </c>
      <c r="H1184" s="43">
        <f t="shared" si="376"/>
        <v>2.7</v>
      </c>
      <c r="I1184" s="43">
        <f t="shared" si="377"/>
        <v>27</v>
      </c>
      <c r="J1184" s="37"/>
      <c r="K1184" s="45">
        <f t="shared" si="378"/>
        <v>0</v>
      </c>
    </row>
    <row r="1185" ht="15.0" customHeight="1">
      <c r="A1185" s="49" t="s">
        <v>1454</v>
      </c>
      <c r="B1185" s="31"/>
      <c r="C1185" s="32"/>
      <c r="D1185" s="33"/>
      <c r="E1185" s="34"/>
      <c r="F1185" s="35"/>
      <c r="G1185" s="36"/>
      <c r="H1185" s="43"/>
      <c r="I1185" s="43"/>
      <c r="J1185" s="37"/>
      <c r="K1185" s="45"/>
    </row>
    <row r="1186" ht="15.0" customHeight="1">
      <c r="A1186" s="48" t="s">
        <v>1455</v>
      </c>
      <c r="B1186" s="40" t="s">
        <v>1377</v>
      </c>
      <c r="C1186" s="41">
        <v>12.0</v>
      </c>
      <c r="D1186" s="33">
        <v>7.340001800623E12</v>
      </c>
      <c r="E1186" s="42">
        <v>1.75</v>
      </c>
      <c r="F1186" s="35">
        <v>21.0</v>
      </c>
      <c r="G1186" s="36">
        <v>1.0</v>
      </c>
      <c r="H1186" s="43">
        <f t="shared" ref="H1186:H1191" si="379">I1186/C1186</f>
        <v>1.833333333</v>
      </c>
      <c r="I1186" s="43">
        <f t="shared" ref="I1186:I1191" si="380">F1186+G1186</f>
        <v>22</v>
      </c>
      <c r="J1186" s="37"/>
      <c r="K1186" s="45">
        <f t="shared" ref="K1186:K1191" si="381">I1186*J1186</f>
        <v>0</v>
      </c>
    </row>
    <row r="1187" ht="15.0" customHeight="1">
      <c r="A1187" s="48" t="s">
        <v>1456</v>
      </c>
      <c r="B1187" s="40" t="s">
        <v>1377</v>
      </c>
      <c r="C1187" s="41">
        <v>12.0</v>
      </c>
      <c r="D1187" s="33">
        <v>7.340001805116E12</v>
      </c>
      <c r="E1187" s="42">
        <v>1.75</v>
      </c>
      <c r="F1187" s="35">
        <v>21.0</v>
      </c>
      <c r="G1187" s="36">
        <v>1.0</v>
      </c>
      <c r="H1187" s="43">
        <f t="shared" si="379"/>
        <v>1.833333333</v>
      </c>
      <c r="I1187" s="43">
        <f t="shared" si="380"/>
        <v>22</v>
      </c>
      <c r="J1187" s="37"/>
      <c r="K1187" s="45">
        <f t="shared" si="381"/>
        <v>0</v>
      </c>
    </row>
    <row r="1188" ht="15.0" customHeight="1">
      <c r="A1188" s="48" t="s">
        <v>1457</v>
      </c>
      <c r="B1188" s="40" t="s">
        <v>1377</v>
      </c>
      <c r="C1188" s="41">
        <v>12.0</v>
      </c>
      <c r="D1188" s="33">
        <v>7.340001805529E12</v>
      </c>
      <c r="E1188" s="42">
        <v>1.75</v>
      </c>
      <c r="F1188" s="35">
        <v>21.0</v>
      </c>
      <c r="G1188" s="36">
        <v>1.0</v>
      </c>
      <c r="H1188" s="43">
        <f t="shared" si="379"/>
        <v>1.833333333</v>
      </c>
      <c r="I1188" s="43">
        <f t="shared" si="380"/>
        <v>22</v>
      </c>
      <c r="J1188" s="37"/>
      <c r="K1188" s="45">
        <f t="shared" si="381"/>
        <v>0</v>
      </c>
      <c r="O1188" s="12" t="s">
        <v>1458</v>
      </c>
    </row>
    <row r="1189" ht="15.0" customHeight="1">
      <c r="A1189" s="48" t="s">
        <v>1459</v>
      </c>
      <c r="B1189" s="40" t="s">
        <v>1377</v>
      </c>
      <c r="C1189" s="41">
        <v>12.0</v>
      </c>
      <c r="D1189" s="33">
        <v>7.340001804904E12</v>
      </c>
      <c r="E1189" s="42">
        <v>1.75</v>
      </c>
      <c r="F1189" s="35">
        <v>21.0</v>
      </c>
      <c r="G1189" s="36">
        <v>1.0</v>
      </c>
      <c r="H1189" s="43">
        <f t="shared" si="379"/>
        <v>1.833333333</v>
      </c>
      <c r="I1189" s="43">
        <f t="shared" si="380"/>
        <v>22</v>
      </c>
      <c r="J1189" s="37"/>
      <c r="K1189" s="45">
        <f t="shared" si="381"/>
        <v>0</v>
      </c>
    </row>
    <row r="1190" ht="15.0" customHeight="1">
      <c r="A1190" s="48" t="s">
        <v>1460</v>
      </c>
      <c r="B1190" s="152" t="s">
        <v>1377</v>
      </c>
      <c r="C1190" s="176">
        <v>12.0</v>
      </c>
      <c r="D1190" s="33">
        <v>7.340001800999E12</v>
      </c>
      <c r="E1190" s="42">
        <v>1.75</v>
      </c>
      <c r="F1190" s="35">
        <v>21.0</v>
      </c>
      <c r="G1190" s="36">
        <v>1.0</v>
      </c>
      <c r="H1190" s="43">
        <f t="shared" si="379"/>
        <v>1.833333333</v>
      </c>
      <c r="I1190" s="43">
        <f t="shared" si="380"/>
        <v>22</v>
      </c>
      <c r="J1190" s="37"/>
      <c r="K1190" s="45">
        <f t="shared" si="381"/>
        <v>0</v>
      </c>
    </row>
    <row r="1191" ht="15.0" customHeight="1">
      <c r="A1191" s="39" t="s">
        <v>1461</v>
      </c>
      <c r="B1191" s="40" t="s">
        <v>1377</v>
      </c>
      <c r="C1191" s="41">
        <v>12.0</v>
      </c>
      <c r="D1191" s="33">
        <v>7.340001805918E12</v>
      </c>
      <c r="E1191" s="42">
        <v>1.75</v>
      </c>
      <c r="F1191" s="35">
        <v>21.0</v>
      </c>
      <c r="G1191" s="36">
        <v>1.0</v>
      </c>
      <c r="H1191" s="43">
        <f t="shared" si="379"/>
        <v>1.833333333</v>
      </c>
      <c r="I1191" s="43">
        <f t="shared" si="380"/>
        <v>22</v>
      </c>
      <c r="J1191" s="37"/>
      <c r="K1191" s="45">
        <f t="shared" si="381"/>
        <v>0</v>
      </c>
    </row>
    <row r="1192" ht="15.0" customHeight="1">
      <c r="A1192" s="30" t="s">
        <v>1462</v>
      </c>
      <c r="B1192" s="31"/>
      <c r="C1192" s="32"/>
      <c r="D1192" s="33"/>
      <c r="E1192" s="34"/>
      <c r="F1192" s="35"/>
      <c r="G1192" s="36"/>
      <c r="H1192" s="43"/>
      <c r="I1192" s="43"/>
      <c r="J1192" s="37"/>
      <c r="K1192" s="45"/>
    </row>
    <row r="1193" ht="15.0" customHeight="1">
      <c r="A1193" s="39" t="s">
        <v>1463</v>
      </c>
      <c r="B1193" s="40" t="s">
        <v>1464</v>
      </c>
      <c r="C1193" s="41">
        <v>12.0</v>
      </c>
      <c r="D1193" s="33">
        <v>3.760287010129E12</v>
      </c>
      <c r="E1193" s="42">
        <v>1.55</v>
      </c>
      <c r="F1193" s="35">
        <v>18.6</v>
      </c>
      <c r="G1193" s="36">
        <v>1.0</v>
      </c>
      <c r="H1193" s="43">
        <f t="shared" ref="H1193:H1194" si="382">I1193/C1193</f>
        <v>1.633333333</v>
      </c>
      <c r="I1193" s="43">
        <f t="shared" ref="I1193:I1194" si="383">F1193+G1193</f>
        <v>19.6</v>
      </c>
      <c r="J1193" s="37"/>
      <c r="K1193" s="45">
        <f t="shared" ref="K1193:K1194" si="384">I1193*J1193</f>
        <v>0</v>
      </c>
    </row>
    <row r="1194" ht="15.0" customHeight="1">
      <c r="A1194" s="39" t="s">
        <v>1465</v>
      </c>
      <c r="B1194" s="40" t="s">
        <v>1464</v>
      </c>
      <c r="C1194" s="41">
        <v>12.0</v>
      </c>
      <c r="D1194" s="33">
        <v>3.760287010112E12</v>
      </c>
      <c r="E1194" s="42">
        <v>1.55</v>
      </c>
      <c r="F1194" s="35">
        <v>18.6</v>
      </c>
      <c r="G1194" s="36">
        <v>1.0</v>
      </c>
      <c r="H1194" s="43">
        <f t="shared" si="382"/>
        <v>1.633333333</v>
      </c>
      <c r="I1194" s="43">
        <f t="shared" si="383"/>
        <v>19.6</v>
      </c>
      <c r="J1194" s="37"/>
      <c r="K1194" s="45">
        <f t="shared" si="384"/>
        <v>0</v>
      </c>
    </row>
    <row r="1195" ht="15.0" customHeight="1">
      <c r="A1195" s="30" t="s">
        <v>1466</v>
      </c>
      <c r="B1195" s="140"/>
      <c r="C1195" s="141"/>
      <c r="D1195" s="33"/>
      <c r="E1195" s="34"/>
      <c r="F1195" s="35"/>
      <c r="G1195" s="36"/>
      <c r="H1195" s="43"/>
      <c r="I1195" s="43"/>
      <c r="J1195" s="37"/>
      <c r="K1195" s="45"/>
    </row>
    <row r="1196" ht="15.0" customHeight="1">
      <c r="A1196" s="39" t="s">
        <v>1467</v>
      </c>
      <c r="B1196" s="40" t="s">
        <v>1468</v>
      </c>
      <c r="C1196" s="41">
        <v>24.0</v>
      </c>
      <c r="D1196" s="33" t="s">
        <v>1469</v>
      </c>
      <c r="E1196" s="42">
        <v>1.45</v>
      </c>
      <c r="F1196" s="35">
        <v>34.8</v>
      </c>
      <c r="G1196" s="36">
        <v>1.0</v>
      </c>
      <c r="H1196" s="43">
        <f>I1196/C1196</f>
        <v>1.491666667</v>
      </c>
      <c r="I1196" s="43">
        <f>F1196+G1196</f>
        <v>35.8</v>
      </c>
      <c r="J1196" s="37"/>
      <c r="K1196" s="45">
        <f>I1196*J1196</f>
        <v>0</v>
      </c>
    </row>
    <row r="1197" ht="15.0" customHeight="1">
      <c r="A1197" s="30" t="s">
        <v>1470</v>
      </c>
      <c r="B1197" s="31"/>
      <c r="C1197" s="32"/>
      <c r="D1197" s="33"/>
      <c r="E1197" s="34"/>
      <c r="F1197" s="35"/>
      <c r="G1197" s="36"/>
      <c r="H1197" s="43"/>
      <c r="I1197" s="43"/>
      <c r="J1197" s="37"/>
      <c r="K1197" s="45"/>
    </row>
    <row r="1198" ht="15.0" customHeight="1">
      <c r="A1198" s="39" t="s">
        <v>1471</v>
      </c>
      <c r="B1198" s="40" t="s">
        <v>1335</v>
      </c>
      <c r="C1198" s="41">
        <v>20.0</v>
      </c>
      <c r="D1198" s="33">
        <v>3.58840025287E12</v>
      </c>
      <c r="E1198" s="42">
        <v>1.15</v>
      </c>
      <c r="F1198" s="35">
        <v>23.0</v>
      </c>
      <c r="G1198" s="36">
        <v>2.0</v>
      </c>
      <c r="H1198" s="43">
        <f>I1198/C1198</f>
        <v>1.25</v>
      </c>
      <c r="I1198" s="43">
        <f>F1198+G1198</f>
        <v>25</v>
      </c>
      <c r="J1198" s="37"/>
      <c r="K1198" s="45">
        <f>I1198*J1198</f>
        <v>0</v>
      </c>
    </row>
    <row r="1199" ht="15.0" customHeight="1">
      <c r="A1199" s="30" t="s">
        <v>1472</v>
      </c>
      <c r="B1199" s="77"/>
      <c r="C1199" s="77"/>
      <c r="D1199" s="78"/>
      <c r="E1199" s="79"/>
      <c r="F1199" s="79"/>
      <c r="G1199" s="36"/>
      <c r="H1199" s="43"/>
      <c r="I1199" s="43"/>
      <c r="J1199" s="37"/>
      <c r="K1199" s="45"/>
    </row>
    <row r="1200" ht="15.0" customHeight="1">
      <c r="A1200" s="69" t="s">
        <v>1473</v>
      </c>
      <c r="B1200" s="41" t="s">
        <v>1438</v>
      </c>
      <c r="C1200" s="41">
        <v>10.0</v>
      </c>
      <c r="D1200" s="70">
        <v>8.356911612245E12</v>
      </c>
      <c r="E1200" s="80">
        <v>1.55</v>
      </c>
      <c r="F1200" s="57">
        <f t="shared" ref="F1200:F1204" si="385">C1200*E1200</f>
        <v>15.5</v>
      </c>
      <c r="G1200" s="36">
        <v>1.0</v>
      </c>
      <c r="H1200" s="43">
        <f t="shared" ref="H1200:H1204" si="386">I1200/C1200</f>
        <v>1.65</v>
      </c>
      <c r="I1200" s="43">
        <f t="shared" ref="I1200:I1204" si="387">F1200+G1200</f>
        <v>16.5</v>
      </c>
      <c r="J1200" s="37"/>
      <c r="K1200" s="45">
        <f t="shared" ref="K1200:K1204" si="388">I1200*J1200</f>
        <v>0</v>
      </c>
    </row>
    <row r="1201" ht="15.0" customHeight="1">
      <c r="A1201" s="69" t="s">
        <v>1474</v>
      </c>
      <c r="B1201" s="41" t="s">
        <v>1341</v>
      </c>
      <c r="C1201" s="41">
        <v>10.0</v>
      </c>
      <c r="D1201" s="70">
        <v>8.356915347797E12</v>
      </c>
      <c r="E1201" s="80">
        <v>1.55</v>
      </c>
      <c r="F1201" s="57">
        <f t="shared" si="385"/>
        <v>15.5</v>
      </c>
      <c r="G1201" s="36">
        <v>1.0</v>
      </c>
      <c r="H1201" s="43">
        <f t="shared" si="386"/>
        <v>1.65</v>
      </c>
      <c r="I1201" s="43">
        <f t="shared" si="387"/>
        <v>16.5</v>
      </c>
      <c r="J1201" s="37"/>
      <c r="K1201" s="45">
        <f t="shared" si="388"/>
        <v>0</v>
      </c>
    </row>
    <row r="1202" ht="15.0" customHeight="1">
      <c r="A1202" s="69" t="s">
        <v>1475</v>
      </c>
      <c r="B1202" s="41" t="s">
        <v>1438</v>
      </c>
      <c r="C1202" s="41">
        <v>10.0</v>
      </c>
      <c r="D1202" s="70">
        <v>9.182215438677E12</v>
      </c>
      <c r="E1202" s="80">
        <v>1.55</v>
      </c>
      <c r="F1202" s="57">
        <f t="shared" si="385"/>
        <v>15.5</v>
      </c>
      <c r="G1202" s="36">
        <v>1.0</v>
      </c>
      <c r="H1202" s="43">
        <f t="shared" si="386"/>
        <v>1.65</v>
      </c>
      <c r="I1202" s="43">
        <f t="shared" si="387"/>
        <v>16.5</v>
      </c>
      <c r="J1202" s="37"/>
      <c r="K1202" s="45">
        <f t="shared" si="388"/>
        <v>0</v>
      </c>
    </row>
    <row r="1203" ht="15.0" customHeight="1">
      <c r="A1203" s="69" t="s">
        <v>1476</v>
      </c>
      <c r="B1203" s="41" t="s">
        <v>1477</v>
      </c>
      <c r="C1203" s="41">
        <v>10.0</v>
      </c>
      <c r="D1203" s="70">
        <v>9.174454731093E12</v>
      </c>
      <c r="E1203" s="80">
        <v>1.55</v>
      </c>
      <c r="F1203" s="57">
        <f t="shared" si="385"/>
        <v>15.5</v>
      </c>
      <c r="G1203" s="36">
        <v>1.0</v>
      </c>
      <c r="H1203" s="43">
        <f t="shared" si="386"/>
        <v>1.65</v>
      </c>
      <c r="I1203" s="43">
        <f t="shared" si="387"/>
        <v>16.5</v>
      </c>
      <c r="J1203" s="37"/>
      <c r="K1203" s="45">
        <f t="shared" si="388"/>
        <v>0</v>
      </c>
    </row>
    <row r="1204" ht="15.0" customHeight="1">
      <c r="A1204" s="69" t="s">
        <v>1478</v>
      </c>
      <c r="B1204" s="41" t="s">
        <v>1350</v>
      </c>
      <c r="C1204" s="41">
        <v>10.0</v>
      </c>
      <c r="D1204" s="70">
        <v>8.878791655765E12</v>
      </c>
      <c r="E1204" s="80">
        <v>1.55</v>
      </c>
      <c r="F1204" s="57">
        <f t="shared" si="385"/>
        <v>15.5</v>
      </c>
      <c r="G1204" s="36">
        <v>1.0</v>
      </c>
      <c r="H1204" s="43">
        <f t="shared" si="386"/>
        <v>1.65</v>
      </c>
      <c r="I1204" s="43">
        <f t="shared" si="387"/>
        <v>16.5</v>
      </c>
      <c r="J1204" s="37"/>
      <c r="K1204" s="45">
        <f t="shared" si="388"/>
        <v>0</v>
      </c>
    </row>
    <row r="1205" ht="15.0" customHeight="1">
      <c r="A1205" s="30" t="s">
        <v>1479</v>
      </c>
      <c r="B1205" s="140"/>
      <c r="C1205" s="141"/>
      <c r="D1205" s="33"/>
      <c r="E1205" s="34"/>
      <c r="F1205" s="35"/>
      <c r="G1205" s="36"/>
      <c r="H1205" s="43"/>
      <c r="I1205" s="43"/>
      <c r="J1205" s="37"/>
      <c r="K1205" s="45"/>
    </row>
    <row r="1206" ht="15.0" customHeight="1">
      <c r="A1206" s="53" t="s">
        <v>1480</v>
      </c>
      <c r="B1206" s="177" t="s">
        <v>1172</v>
      </c>
      <c r="C1206" s="58">
        <v>12.0</v>
      </c>
      <c r="D1206" s="90" t="s">
        <v>1481</v>
      </c>
      <c r="E1206" s="56">
        <v>1.55</v>
      </c>
      <c r="F1206" s="74">
        <f t="shared" ref="F1206:F1210" si="389">E1206*C1206</f>
        <v>18.6</v>
      </c>
      <c r="G1206" s="36">
        <v>1.0</v>
      </c>
      <c r="H1206" s="43">
        <f t="shared" ref="H1206:H1210" si="390">I1206/C1206</f>
        <v>1.633333333</v>
      </c>
      <c r="I1206" s="43">
        <f t="shared" ref="I1206:I1210" si="391">F1206+G1206</f>
        <v>19.6</v>
      </c>
      <c r="J1206" s="37"/>
      <c r="K1206" s="45">
        <f t="shared" ref="K1206:K1210" si="392">I1206*J1206</f>
        <v>0</v>
      </c>
    </row>
    <row r="1207" ht="15.0" customHeight="1">
      <c r="A1207" s="53" t="s">
        <v>1482</v>
      </c>
      <c r="B1207" s="177" t="s">
        <v>1172</v>
      </c>
      <c r="C1207" s="58">
        <v>12.0</v>
      </c>
      <c r="D1207" s="90" t="s">
        <v>1483</v>
      </c>
      <c r="E1207" s="56">
        <v>1.55</v>
      </c>
      <c r="F1207" s="74">
        <f t="shared" si="389"/>
        <v>18.6</v>
      </c>
      <c r="G1207" s="36">
        <v>1.0</v>
      </c>
      <c r="H1207" s="43">
        <f t="shared" si="390"/>
        <v>1.633333333</v>
      </c>
      <c r="I1207" s="43">
        <f t="shared" si="391"/>
        <v>19.6</v>
      </c>
      <c r="J1207" s="37"/>
      <c r="K1207" s="45">
        <f t="shared" si="392"/>
        <v>0</v>
      </c>
    </row>
    <row r="1208" ht="15.0" customHeight="1">
      <c r="A1208" s="53" t="s">
        <v>1484</v>
      </c>
      <c r="B1208" s="177" t="s">
        <v>1172</v>
      </c>
      <c r="C1208" s="58">
        <v>12.0</v>
      </c>
      <c r="D1208" s="90" t="s">
        <v>1485</v>
      </c>
      <c r="E1208" s="56">
        <v>1.55</v>
      </c>
      <c r="F1208" s="74">
        <f t="shared" si="389"/>
        <v>18.6</v>
      </c>
      <c r="G1208" s="36">
        <v>1.0</v>
      </c>
      <c r="H1208" s="43">
        <f t="shared" si="390"/>
        <v>1.633333333</v>
      </c>
      <c r="I1208" s="43">
        <f t="shared" si="391"/>
        <v>19.6</v>
      </c>
      <c r="J1208" s="37"/>
      <c r="K1208" s="45">
        <f t="shared" si="392"/>
        <v>0</v>
      </c>
    </row>
    <row r="1209" ht="15.0" customHeight="1">
      <c r="A1209" s="53" t="s">
        <v>1486</v>
      </c>
      <c r="B1209" s="177" t="s">
        <v>1257</v>
      </c>
      <c r="C1209" s="58">
        <v>12.0</v>
      </c>
      <c r="D1209" s="90" t="s">
        <v>1487</v>
      </c>
      <c r="E1209" s="56">
        <v>1.55</v>
      </c>
      <c r="F1209" s="74">
        <f t="shared" si="389"/>
        <v>18.6</v>
      </c>
      <c r="G1209" s="36">
        <v>1.0</v>
      </c>
      <c r="H1209" s="43">
        <f t="shared" si="390"/>
        <v>1.633333333</v>
      </c>
      <c r="I1209" s="43">
        <f t="shared" si="391"/>
        <v>19.6</v>
      </c>
      <c r="J1209" s="37"/>
      <c r="K1209" s="45">
        <f t="shared" si="392"/>
        <v>0</v>
      </c>
    </row>
    <row r="1210" ht="15.0" customHeight="1">
      <c r="A1210" s="53" t="s">
        <v>1488</v>
      </c>
      <c r="B1210" s="177" t="s">
        <v>1257</v>
      </c>
      <c r="C1210" s="58">
        <v>12.0</v>
      </c>
      <c r="D1210" s="90" t="s">
        <v>1489</v>
      </c>
      <c r="E1210" s="56">
        <v>1.55</v>
      </c>
      <c r="F1210" s="74">
        <f t="shared" si="389"/>
        <v>18.6</v>
      </c>
      <c r="G1210" s="36">
        <v>1.0</v>
      </c>
      <c r="H1210" s="43">
        <f t="shared" si="390"/>
        <v>1.633333333</v>
      </c>
      <c r="I1210" s="43">
        <f t="shared" si="391"/>
        <v>19.6</v>
      </c>
      <c r="J1210" s="37"/>
      <c r="K1210" s="45">
        <f t="shared" si="392"/>
        <v>0</v>
      </c>
    </row>
    <row r="1211" ht="15.0" customHeight="1">
      <c r="A1211" s="49" t="s">
        <v>1490</v>
      </c>
      <c r="B1211" s="31"/>
      <c r="C1211" s="32"/>
      <c r="D1211" s="33"/>
      <c r="E1211" s="34"/>
      <c r="F1211" s="35"/>
      <c r="G1211" s="36"/>
      <c r="H1211" s="43"/>
      <c r="I1211" s="43"/>
      <c r="J1211" s="37"/>
      <c r="K1211" s="45"/>
    </row>
    <row r="1212" ht="15.0" customHeight="1">
      <c r="A1212" s="48" t="s">
        <v>1491</v>
      </c>
      <c r="B1212" s="40" t="s">
        <v>1201</v>
      </c>
      <c r="C1212" s="41">
        <v>12.0</v>
      </c>
      <c r="D1212" s="33">
        <v>8.410525116759E12</v>
      </c>
      <c r="E1212" s="42">
        <v>0.67</v>
      </c>
      <c r="F1212" s="35">
        <v>1.0</v>
      </c>
      <c r="G1212" s="36">
        <v>1.0</v>
      </c>
      <c r="H1212" s="43">
        <f t="shared" ref="H1212:H1236" si="393">I1212/C1212</f>
        <v>0.1666666667</v>
      </c>
      <c r="I1212" s="43">
        <f t="shared" ref="I1212:I1236" si="394">F1212+G1212</f>
        <v>2</v>
      </c>
      <c r="J1212" s="37"/>
      <c r="K1212" s="45">
        <f t="shared" ref="K1212:K1236" si="395">I1212*J1212</f>
        <v>0</v>
      </c>
    </row>
    <row r="1213" ht="15.0" customHeight="1">
      <c r="A1213" s="178" t="s">
        <v>1492</v>
      </c>
      <c r="B1213" s="177" t="s">
        <v>1493</v>
      </c>
      <c r="C1213" s="58">
        <v>12.0</v>
      </c>
      <c r="D1213" s="51" t="s">
        <v>1494</v>
      </c>
      <c r="E1213" s="56">
        <v>0.67</v>
      </c>
      <c r="F1213" s="74">
        <v>8.04</v>
      </c>
      <c r="G1213" s="36">
        <v>1.0</v>
      </c>
      <c r="H1213" s="43">
        <f t="shared" si="393"/>
        <v>0.7533333333</v>
      </c>
      <c r="I1213" s="43">
        <f t="shared" si="394"/>
        <v>9.04</v>
      </c>
      <c r="J1213" s="37"/>
      <c r="K1213" s="45">
        <f t="shared" si="395"/>
        <v>0</v>
      </c>
    </row>
    <row r="1214" ht="15.0" customHeight="1">
      <c r="A1214" s="48" t="s">
        <v>1495</v>
      </c>
      <c r="B1214" s="40" t="s">
        <v>1201</v>
      </c>
      <c r="C1214" s="41">
        <v>12.0</v>
      </c>
      <c r="D1214" s="33">
        <v>8.410525116742E12</v>
      </c>
      <c r="E1214" s="42">
        <v>0.67</v>
      </c>
      <c r="F1214" s="74">
        <v>8.04</v>
      </c>
      <c r="G1214" s="36">
        <v>1.0</v>
      </c>
      <c r="H1214" s="43">
        <f t="shared" si="393"/>
        <v>0.7533333333</v>
      </c>
      <c r="I1214" s="43">
        <f t="shared" si="394"/>
        <v>9.04</v>
      </c>
      <c r="J1214" s="37"/>
      <c r="K1214" s="45">
        <f t="shared" si="395"/>
        <v>0</v>
      </c>
    </row>
    <row r="1215" ht="15.0" customHeight="1">
      <c r="A1215" s="48" t="s">
        <v>1496</v>
      </c>
      <c r="B1215" s="40" t="s">
        <v>1201</v>
      </c>
      <c r="C1215" s="41">
        <v>12.0</v>
      </c>
      <c r="D1215" s="33">
        <v>8.410525116704E12</v>
      </c>
      <c r="E1215" s="42">
        <v>0.67</v>
      </c>
      <c r="F1215" s="74">
        <v>8.04</v>
      </c>
      <c r="G1215" s="36">
        <v>1.0</v>
      </c>
      <c r="H1215" s="43">
        <f t="shared" si="393"/>
        <v>0.7533333333</v>
      </c>
      <c r="I1215" s="43">
        <f t="shared" si="394"/>
        <v>9.04</v>
      </c>
      <c r="J1215" s="37"/>
      <c r="K1215" s="45">
        <f t="shared" si="395"/>
        <v>0</v>
      </c>
    </row>
    <row r="1216" ht="15.0" customHeight="1">
      <c r="A1216" s="48" t="s">
        <v>1497</v>
      </c>
      <c r="B1216" s="40" t="s">
        <v>1201</v>
      </c>
      <c r="C1216" s="41">
        <v>12.0</v>
      </c>
      <c r="D1216" s="33">
        <v>8.410525116766E12</v>
      </c>
      <c r="E1216" s="42">
        <v>0.67</v>
      </c>
      <c r="F1216" s="35">
        <v>8.04</v>
      </c>
      <c r="G1216" s="36">
        <v>1.0</v>
      </c>
      <c r="H1216" s="43">
        <f t="shared" si="393"/>
        <v>0.7533333333</v>
      </c>
      <c r="I1216" s="43">
        <f t="shared" si="394"/>
        <v>9.04</v>
      </c>
      <c r="J1216" s="37"/>
      <c r="K1216" s="45">
        <f t="shared" si="395"/>
        <v>0</v>
      </c>
    </row>
    <row r="1217" ht="15.0" customHeight="1">
      <c r="A1217" s="48" t="s">
        <v>1498</v>
      </c>
      <c r="B1217" s="40" t="s">
        <v>1201</v>
      </c>
      <c r="C1217" s="41">
        <v>12.0</v>
      </c>
      <c r="D1217" s="33">
        <v>8.410525248078E12</v>
      </c>
      <c r="E1217" s="42">
        <v>0.67</v>
      </c>
      <c r="F1217" s="35">
        <v>8.04</v>
      </c>
      <c r="G1217" s="36">
        <v>1.0</v>
      </c>
      <c r="H1217" s="43">
        <f t="shared" si="393"/>
        <v>0.7533333333</v>
      </c>
      <c r="I1217" s="43">
        <f t="shared" si="394"/>
        <v>9.04</v>
      </c>
      <c r="J1217" s="37"/>
      <c r="K1217" s="45">
        <f t="shared" si="395"/>
        <v>0</v>
      </c>
    </row>
    <row r="1218" ht="15.0" customHeight="1">
      <c r="A1218" s="48" t="s">
        <v>1499</v>
      </c>
      <c r="B1218" s="40" t="s">
        <v>1201</v>
      </c>
      <c r="C1218" s="41">
        <v>12.0</v>
      </c>
      <c r="D1218" s="33">
        <v>8.410525241314E12</v>
      </c>
      <c r="E1218" s="42">
        <v>0.67</v>
      </c>
      <c r="F1218" s="35">
        <v>8.04</v>
      </c>
      <c r="G1218" s="36">
        <v>1.0</v>
      </c>
      <c r="H1218" s="43">
        <f t="shared" si="393"/>
        <v>0.7533333333</v>
      </c>
      <c r="I1218" s="43">
        <f t="shared" si="394"/>
        <v>9.04</v>
      </c>
      <c r="J1218" s="37"/>
      <c r="K1218" s="45">
        <f t="shared" si="395"/>
        <v>0</v>
      </c>
    </row>
    <row r="1219" ht="15.0" customHeight="1">
      <c r="A1219" s="48" t="s">
        <v>1500</v>
      </c>
      <c r="B1219" s="40" t="s">
        <v>1201</v>
      </c>
      <c r="C1219" s="41">
        <v>12.0</v>
      </c>
      <c r="D1219" s="33">
        <v>8.410525241321E12</v>
      </c>
      <c r="E1219" s="42">
        <v>0.67</v>
      </c>
      <c r="F1219" s="35">
        <v>8.04</v>
      </c>
      <c r="G1219" s="36">
        <v>1.0</v>
      </c>
      <c r="H1219" s="43">
        <f t="shared" si="393"/>
        <v>0.7533333333</v>
      </c>
      <c r="I1219" s="43">
        <f t="shared" si="394"/>
        <v>9.04</v>
      </c>
      <c r="J1219" s="37"/>
      <c r="K1219" s="45">
        <f t="shared" si="395"/>
        <v>0</v>
      </c>
    </row>
    <row r="1220" ht="15.0" customHeight="1">
      <c r="A1220" s="48" t="s">
        <v>1501</v>
      </c>
      <c r="B1220" s="40" t="s">
        <v>1201</v>
      </c>
      <c r="C1220" s="41">
        <v>12.0</v>
      </c>
      <c r="D1220" s="33">
        <v>8.410525159749E12</v>
      </c>
      <c r="E1220" s="42">
        <v>0.67</v>
      </c>
      <c r="F1220" s="35">
        <v>8.04</v>
      </c>
      <c r="G1220" s="36">
        <v>1.0</v>
      </c>
      <c r="H1220" s="43">
        <f t="shared" si="393"/>
        <v>0.7533333333</v>
      </c>
      <c r="I1220" s="43">
        <f t="shared" si="394"/>
        <v>9.04</v>
      </c>
      <c r="J1220" s="37"/>
      <c r="K1220" s="45">
        <f t="shared" si="395"/>
        <v>0</v>
      </c>
    </row>
    <row r="1221" ht="15.0" customHeight="1">
      <c r="A1221" s="48" t="s">
        <v>1502</v>
      </c>
      <c r="B1221" s="40" t="s">
        <v>1201</v>
      </c>
      <c r="C1221" s="41">
        <v>12.0</v>
      </c>
      <c r="D1221" s="33">
        <v>8.410525116803E12</v>
      </c>
      <c r="E1221" s="42">
        <v>0.67</v>
      </c>
      <c r="F1221" s="35">
        <v>8.04</v>
      </c>
      <c r="G1221" s="36">
        <v>1.0</v>
      </c>
      <c r="H1221" s="43">
        <f t="shared" si="393"/>
        <v>0.7533333333</v>
      </c>
      <c r="I1221" s="43">
        <f t="shared" si="394"/>
        <v>9.04</v>
      </c>
      <c r="J1221" s="37"/>
      <c r="K1221" s="45">
        <f t="shared" si="395"/>
        <v>0</v>
      </c>
    </row>
    <row r="1222" ht="15.0" customHeight="1">
      <c r="A1222" s="48" t="s">
        <v>1503</v>
      </c>
      <c r="B1222" s="40" t="s">
        <v>1201</v>
      </c>
      <c r="C1222" s="41">
        <v>12.0</v>
      </c>
      <c r="D1222" s="33">
        <v>8.410525122903E12</v>
      </c>
      <c r="E1222" s="42">
        <v>0.67</v>
      </c>
      <c r="F1222" s="35">
        <v>8.04</v>
      </c>
      <c r="G1222" s="36">
        <v>1.0</v>
      </c>
      <c r="H1222" s="43">
        <f t="shared" si="393"/>
        <v>0.7533333333</v>
      </c>
      <c r="I1222" s="43">
        <f t="shared" si="394"/>
        <v>9.04</v>
      </c>
      <c r="J1222" s="37"/>
      <c r="K1222" s="45">
        <f t="shared" si="395"/>
        <v>0</v>
      </c>
    </row>
    <row r="1223" ht="15.0" customHeight="1">
      <c r="A1223" s="48" t="s">
        <v>1504</v>
      </c>
      <c r="B1223" s="40" t="s">
        <v>1201</v>
      </c>
      <c r="C1223" s="41">
        <v>12.0</v>
      </c>
      <c r="D1223" s="33">
        <v>8.410525119019E12</v>
      </c>
      <c r="E1223" s="42">
        <v>0.67</v>
      </c>
      <c r="F1223" s="35">
        <v>8.04</v>
      </c>
      <c r="G1223" s="36">
        <v>1.0</v>
      </c>
      <c r="H1223" s="43">
        <f t="shared" si="393"/>
        <v>0.7533333333</v>
      </c>
      <c r="I1223" s="43">
        <f t="shared" si="394"/>
        <v>9.04</v>
      </c>
      <c r="J1223" s="37"/>
      <c r="K1223" s="45">
        <f t="shared" si="395"/>
        <v>0</v>
      </c>
    </row>
    <row r="1224" ht="15.0" customHeight="1">
      <c r="A1224" s="48" t="s">
        <v>1505</v>
      </c>
      <c r="B1224" s="40" t="s">
        <v>1201</v>
      </c>
      <c r="C1224" s="41">
        <v>12.0</v>
      </c>
      <c r="D1224" s="33">
        <v>8.410525160554E12</v>
      </c>
      <c r="E1224" s="42">
        <v>0.67</v>
      </c>
      <c r="F1224" s="35">
        <v>8.04</v>
      </c>
      <c r="G1224" s="36">
        <v>1.0</v>
      </c>
      <c r="H1224" s="43">
        <f t="shared" si="393"/>
        <v>0.7533333333</v>
      </c>
      <c r="I1224" s="43">
        <f t="shared" si="394"/>
        <v>9.04</v>
      </c>
      <c r="J1224" s="37"/>
      <c r="K1224" s="45">
        <f t="shared" si="395"/>
        <v>0</v>
      </c>
    </row>
    <row r="1225" ht="15.0" customHeight="1">
      <c r="A1225" s="48" t="s">
        <v>1506</v>
      </c>
      <c r="B1225" s="40" t="s">
        <v>1201</v>
      </c>
      <c r="C1225" s="41">
        <v>12.0</v>
      </c>
      <c r="D1225" s="33">
        <v>8.410525116711E12</v>
      </c>
      <c r="E1225" s="42">
        <v>0.67</v>
      </c>
      <c r="F1225" s="35">
        <v>8.04</v>
      </c>
      <c r="G1225" s="36">
        <v>1.0</v>
      </c>
      <c r="H1225" s="43">
        <f t="shared" si="393"/>
        <v>0.7533333333</v>
      </c>
      <c r="I1225" s="43">
        <f t="shared" si="394"/>
        <v>9.04</v>
      </c>
      <c r="J1225" s="37"/>
      <c r="K1225" s="45">
        <f t="shared" si="395"/>
        <v>0</v>
      </c>
    </row>
    <row r="1226" ht="15.0" customHeight="1">
      <c r="A1226" s="48" t="s">
        <v>1507</v>
      </c>
      <c r="B1226" s="40" t="s">
        <v>1201</v>
      </c>
      <c r="C1226" s="41">
        <v>12.0</v>
      </c>
      <c r="D1226" s="33">
        <v>8.4105251215E12</v>
      </c>
      <c r="E1226" s="42">
        <v>0.67</v>
      </c>
      <c r="F1226" s="35">
        <v>8.04</v>
      </c>
      <c r="G1226" s="36">
        <v>1.0</v>
      </c>
      <c r="H1226" s="43">
        <f t="shared" si="393"/>
        <v>0.7533333333</v>
      </c>
      <c r="I1226" s="43">
        <f t="shared" si="394"/>
        <v>9.04</v>
      </c>
      <c r="J1226" s="37"/>
      <c r="K1226" s="45">
        <f t="shared" si="395"/>
        <v>0</v>
      </c>
    </row>
    <row r="1227" ht="15.0" customHeight="1">
      <c r="A1227" s="53" t="s">
        <v>1508</v>
      </c>
      <c r="B1227" s="58" t="s">
        <v>1201</v>
      </c>
      <c r="C1227" s="58">
        <v>12.0</v>
      </c>
      <c r="D1227" s="51" t="s">
        <v>1509</v>
      </c>
      <c r="E1227" s="56">
        <v>0.67</v>
      </c>
      <c r="F1227" s="74">
        <v>8.04</v>
      </c>
      <c r="G1227" s="36">
        <v>1.0</v>
      </c>
      <c r="H1227" s="43">
        <f t="shared" si="393"/>
        <v>0.7533333333</v>
      </c>
      <c r="I1227" s="43">
        <f t="shared" si="394"/>
        <v>9.04</v>
      </c>
      <c r="J1227" s="38"/>
      <c r="K1227" s="45">
        <f t="shared" si="395"/>
        <v>0</v>
      </c>
    </row>
    <row r="1228" ht="15.0" customHeight="1">
      <c r="A1228" s="48" t="s">
        <v>1510</v>
      </c>
      <c r="B1228" s="40" t="s">
        <v>1201</v>
      </c>
      <c r="C1228" s="41">
        <v>12.0</v>
      </c>
      <c r="D1228" s="33">
        <v>8.410525247569E12</v>
      </c>
      <c r="E1228" s="42">
        <v>0.67</v>
      </c>
      <c r="F1228" s="35">
        <v>8.04</v>
      </c>
      <c r="G1228" s="36">
        <v>1.0</v>
      </c>
      <c r="H1228" s="43">
        <f t="shared" si="393"/>
        <v>0.7533333333</v>
      </c>
      <c r="I1228" s="43">
        <f t="shared" si="394"/>
        <v>9.04</v>
      </c>
      <c r="J1228" s="37"/>
      <c r="K1228" s="45">
        <f t="shared" si="395"/>
        <v>0</v>
      </c>
    </row>
    <row r="1229" ht="15.0" customHeight="1">
      <c r="A1229" s="48" t="s">
        <v>1511</v>
      </c>
      <c r="B1229" s="40" t="s">
        <v>1201</v>
      </c>
      <c r="C1229" s="41">
        <v>12.0</v>
      </c>
      <c r="D1229" s="33">
        <v>8.410525179914E12</v>
      </c>
      <c r="E1229" s="42">
        <v>0.67</v>
      </c>
      <c r="F1229" s="35">
        <v>8.04</v>
      </c>
      <c r="G1229" s="36">
        <v>1.0</v>
      </c>
      <c r="H1229" s="43">
        <f t="shared" si="393"/>
        <v>0.7533333333</v>
      </c>
      <c r="I1229" s="43">
        <f t="shared" si="394"/>
        <v>9.04</v>
      </c>
      <c r="J1229" s="37"/>
      <c r="K1229" s="45">
        <f t="shared" si="395"/>
        <v>0</v>
      </c>
    </row>
    <row r="1230" ht="15.0" customHeight="1">
      <c r="A1230" s="48" t="s">
        <v>1512</v>
      </c>
      <c r="B1230" s="40" t="s">
        <v>1201</v>
      </c>
      <c r="C1230" s="41">
        <v>12.0</v>
      </c>
      <c r="D1230" s="33">
        <v>8.410525116728E12</v>
      </c>
      <c r="E1230" s="42">
        <v>0.67</v>
      </c>
      <c r="F1230" s="35">
        <v>8.04</v>
      </c>
      <c r="G1230" s="36">
        <v>1.0</v>
      </c>
      <c r="H1230" s="43">
        <f t="shared" si="393"/>
        <v>0.7533333333</v>
      </c>
      <c r="I1230" s="43">
        <f t="shared" si="394"/>
        <v>9.04</v>
      </c>
      <c r="J1230" s="37"/>
      <c r="K1230" s="45">
        <f t="shared" si="395"/>
        <v>0</v>
      </c>
    </row>
    <row r="1231" ht="15.0" customHeight="1">
      <c r="A1231" s="48" t="s">
        <v>1513</v>
      </c>
      <c r="B1231" s="40" t="s">
        <v>1201</v>
      </c>
      <c r="C1231" s="41">
        <v>12.0</v>
      </c>
      <c r="D1231" s="33">
        <v>8.410525220548E12</v>
      </c>
      <c r="E1231" s="42">
        <v>0.67</v>
      </c>
      <c r="F1231" s="35">
        <v>8.04</v>
      </c>
      <c r="G1231" s="36">
        <v>1.0</v>
      </c>
      <c r="H1231" s="43">
        <f t="shared" si="393"/>
        <v>0.7533333333</v>
      </c>
      <c r="I1231" s="43">
        <f t="shared" si="394"/>
        <v>9.04</v>
      </c>
      <c r="J1231" s="37"/>
      <c r="K1231" s="45">
        <f t="shared" si="395"/>
        <v>0</v>
      </c>
    </row>
    <row r="1232" ht="15.0" customHeight="1">
      <c r="A1232" s="48" t="s">
        <v>1514</v>
      </c>
      <c r="B1232" s="40" t="s">
        <v>1201</v>
      </c>
      <c r="C1232" s="41">
        <v>12.0</v>
      </c>
      <c r="D1232" s="33">
        <v>8.410525116834E12</v>
      </c>
      <c r="E1232" s="42">
        <v>0.67</v>
      </c>
      <c r="F1232" s="35">
        <v>8.04</v>
      </c>
      <c r="G1232" s="36">
        <v>1.0</v>
      </c>
      <c r="H1232" s="43">
        <f t="shared" si="393"/>
        <v>0.7533333333</v>
      </c>
      <c r="I1232" s="43">
        <f t="shared" si="394"/>
        <v>9.04</v>
      </c>
      <c r="J1232" s="37"/>
      <c r="K1232" s="45">
        <f t="shared" si="395"/>
        <v>0</v>
      </c>
    </row>
    <row r="1233" ht="15.0" customHeight="1">
      <c r="A1233" s="48" t="s">
        <v>1515</v>
      </c>
      <c r="B1233" s="40" t="s">
        <v>1201</v>
      </c>
      <c r="C1233" s="41">
        <v>12.0</v>
      </c>
      <c r="D1233" s="33">
        <v>8.410525116797E12</v>
      </c>
      <c r="E1233" s="42">
        <v>0.67</v>
      </c>
      <c r="F1233" s="35">
        <v>8.04</v>
      </c>
      <c r="G1233" s="36">
        <v>1.0</v>
      </c>
      <c r="H1233" s="43">
        <f t="shared" si="393"/>
        <v>0.7533333333</v>
      </c>
      <c r="I1233" s="43">
        <f t="shared" si="394"/>
        <v>9.04</v>
      </c>
      <c r="J1233" s="37"/>
      <c r="K1233" s="45">
        <f t="shared" si="395"/>
        <v>0</v>
      </c>
    </row>
    <row r="1234" ht="15.0" customHeight="1">
      <c r="A1234" s="48" t="s">
        <v>1516</v>
      </c>
      <c r="B1234" s="40" t="s">
        <v>1201</v>
      </c>
      <c r="C1234" s="41">
        <v>12.0</v>
      </c>
      <c r="D1234" s="33">
        <v>8.410525178085E12</v>
      </c>
      <c r="E1234" s="42">
        <v>0.67</v>
      </c>
      <c r="F1234" s="35">
        <v>8.04</v>
      </c>
      <c r="G1234" s="36">
        <v>1.0</v>
      </c>
      <c r="H1234" s="43">
        <f t="shared" si="393"/>
        <v>0.7533333333</v>
      </c>
      <c r="I1234" s="43">
        <f t="shared" si="394"/>
        <v>9.04</v>
      </c>
      <c r="J1234" s="37"/>
      <c r="K1234" s="45">
        <f t="shared" si="395"/>
        <v>0</v>
      </c>
    </row>
    <row r="1235" ht="15.0" customHeight="1">
      <c r="A1235" s="179" t="s">
        <v>1517</v>
      </c>
      <c r="B1235" s="58" t="s">
        <v>1199</v>
      </c>
      <c r="C1235" s="58">
        <v>12.0</v>
      </c>
      <c r="D1235" s="33">
        <v>8.410525274602E12</v>
      </c>
      <c r="E1235" s="56">
        <v>0.67</v>
      </c>
      <c r="F1235" s="74">
        <v>8.04</v>
      </c>
      <c r="G1235" s="36">
        <v>1.0</v>
      </c>
      <c r="H1235" s="43">
        <f t="shared" si="393"/>
        <v>0.7533333333</v>
      </c>
      <c r="I1235" s="43">
        <f t="shared" si="394"/>
        <v>9.04</v>
      </c>
      <c r="J1235" s="37"/>
      <c r="K1235" s="45">
        <f t="shared" si="395"/>
        <v>0</v>
      </c>
    </row>
    <row r="1236" ht="15.0" customHeight="1">
      <c r="A1236" s="53" t="s">
        <v>1518</v>
      </c>
      <c r="B1236" s="58" t="s">
        <v>1199</v>
      </c>
      <c r="C1236" s="58">
        <v>12.0</v>
      </c>
      <c r="D1236" s="33">
        <v>8.41052527477E12</v>
      </c>
      <c r="E1236" s="56">
        <v>0.67</v>
      </c>
      <c r="F1236" s="74">
        <v>8.04</v>
      </c>
      <c r="G1236" s="36">
        <v>1.0</v>
      </c>
      <c r="H1236" s="43">
        <f t="shared" si="393"/>
        <v>0.7533333333</v>
      </c>
      <c r="I1236" s="43">
        <f t="shared" si="394"/>
        <v>9.04</v>
      </c>
      <c r="J1236" s="37"/>
      <c r="K1236" s="45">
        <f t="shared" si="395"/>
        <v>0</v>
      </c>
    </row>
    <row r="1237" ht="15.0" customHeight="1">
      <c r="A1237" s="30" t="s">
        <v>1519</v>
      </c>
      <c r="B1237" s="31"/>
      <c r="C1237" s="32"/>
      <c r="D1237" s="33"/>
      <c r="E1237" s="34"/>
      <c r="F1237" s="35"/>
      <c r="G1237" s="36"/>
      <c r="H1237" s="43"/>
      <c r="I1237" s="43"/>
      <c r="J1237" s="37"/>
      <c r="K1237" s="45"/>
    </row>
    <row r="1238" ht="15.0" customHeight="1">
      <c r="A1238" s="39" t="s">
        <v>1520</v>
      </c>
      <c r="B1238" s="40" t="s">
        <v>1201</v>
      </c>
      <c r="C1238" s="41">
        <v>12.0</v>
      </c>
      <c r="D1238" s="33">
        <v>8.410525116827E12</v>
      </c>
      <c r="E1238" s="42">
        <v>0.7</v>
      </c>
      <c r="F1238" s="35">
        <v>8.4</v>
      </c>
      <c r="G1238" s="36">
        <v>1.0</v>
      </c>
      <c r="H1238" s="43">
        <f t="shared" ref="H1238:H1241" si="396">I1238/C1238</f>
        <v>0.7833333333</v>
      </c>
      <c r="I1238" s="43">
        <f t="shared" ref="I1238:I1241" si="397">F1238+G1238</f>
        <v>9.4</v>
      </c>
      <c r="J1238" s="37"/>
      <c r="K1238" s="45">
        <f t="shared" ref="K1238:K1241" si="398">I1238*J1238</f>
        <v>0</v>
      </c>
    </row>
    <row r="1239" ht="15.0" customHeight="1">
      <c r="A1239" s="39" t="s">
        <v>1521</v>
      </c>
      <c r="B1239" s="40" t="s">
        <v>1201</v>
      </c>
      <c r="C1239" s="41">
        <v>12.0</v>
      </c>
      <c r="D1239" s="33">
        <v>8.410525147906E12</v>
      </c>
      <c r="E1239" s="42">
        <v>0.7</v>
      </c>
      <c r="F1239" s="35">
        <v>8.4</v>
      </c>
      <c r="G1239" s="36">
        <v>1.0</v>
      </c>
      <c r="H1239" s="43">
        <f t="shared" si="396"/>
        <v>0.7833333333</v>
      </c>
      <c r="I1239" s="43">
        <f t="shared" si="397"/>
        <v>9.4</v>
      </c>
      <c r="J1239" s="37"/>
      <c r="K1239" s="45">
        <f t="shared" si="398"/>
        <v>0</v>
      </c>
    </row>
    <row r="1240" ht="15.0" customHeight="1">
      <c r="A1240" s="39" t="s">
        <v>1522</v>
      </c>
      <c r="B1240" s="40" t="s">
        <v>1201</v>
      </c>
      <c r="C1240" s="41">
        <v>12.0</v>
      </c>
      <c r="D1240" s="33">
        <v>8.410525143397E12</v>
      </c>
      <c r="E1240" s="42">
        <v>0.7</v>
      </c>
      <c r="F1240" s="35">
        <v>8.4</v>
      </c>
      <c r="G1240" s="36">
        <v>1.0</v>
      </c>
      <c r="H1240" s="43">
        <f t="shared" si="396"/>
        <v>0.7833333333</v>
      </c>
      <c r="I1240" s="43">
        <f t="shared" si="397"/>
        <v>9.4</v>
      </c>
      <c r="J1240" s="37"/>
      <c r="K1240" s="45">
        <f t="shared" si="398"/>
        <v>0</v>
      </c>
    </row>
    <row r="1241" ht="15.0" customHeight="1">
      <c r="A1241" s="39" t="s">
        <v>1523</v>
      </c>
      <c r="B1241" s="40" t="s">
        <v>1201</v>
      </c>
      <c r="C1241" s="41">
        <v>12.0</v>
      </c>
      <c r="D1241" s="33">
        <v>8.410525143403E12</v>
      </c>
      <c r="E1241" s="42">
        <v>0.7</v>
      </c>
      <c r="F1241" s="35">
        <v>8.4</v>
      </c>
      <c r="G1241" s="36">
        <v>1.0</v>
      </c>
      <c r="H1241" s="43">
        <f t="shared" si="396"/>
        <v>0.7833333333</v>
      </c>
      <c r="I1241" s="43">
        <f t="shared" si="397"/>
        <v>9.4</v>
      </c>
      <c r="J1241" s="37"/>
      <c r="K1241" s="45">
        <f t="shared" si="398"/>
        <v>0</v>
      </c>
    </row>
    <row r="1242" ht="15.0" customHeight="1">
      <c r="A1242" s="30" t="s">
        <v>1524</v>
      </c>
      <c r="B1242" s="31"/>
      <c r="C1242" s="32"/>
      <c r="D1242" s="33"/>
      <c r="E1242" s="34"/>
      <c r="F1242" s="35"/>
      <c r="G1242" s="36"/>
      <c r="H1242" s="43"/>
      <c r="I1242" s="43"/>
      <c r="J1242" s="37"/>
      <c r="K1242" s="45"/>
    </row>
    <row r="1243" ht="15.0" customHeight="1">
      <c r="A1243" s="39" t="s">
        <v>1525</v>
      </c>
      <c r="B1243" s="40" t="s">
        <v>1493</v>
      </c>
      <c r="C1243" s="41">
        <v>12.0</v>
      </c>
      <c r="D1243" s="33">
        <v>8.41052511681E12</v>
      </c>
      <c r="E1243" s="42">
        <v>0.67</v>
      </c>
      <c r="F1243" s="35">
        <v>8.04</v>
      </c>
      <c r="G1243" s="36">
        <v>1.0</v>
      </c>
      <c r="H1243" s="43">
        <f t="shared" ref="H1243:H1268" si="399">I1243/C1243</f>
        <v>0.7533333333</v>
      </c>
      <c r="I1243" s="43">
        <f t="shared" ref="I1243:I1268" si="400">F1243+G1243</f>
        <v>9.04</v>
      </c>
      <c r="J1243" s="37"/>
      <c r="K1243" s="45">
        <f t="shared" ref="K1243:K1268" si="401">I1243*J1243</f>
        <v>0</v>
      </c>
    </row>
    <row r="1244" ht="15.0" customHeight="1">
      <c r="A1244" s="39" t="s">
        <v>1526</v>
      </c>
      <c r="B1244" s="40" t="s">
        <v>1201</v>
      </c>
      <c r="C1244" s="41">
        <v>12.0</v>
      </c>
      <c r="D1244" s="33">
        <v>8.410525180651E12</v>
      </c>
      <c r="E1244" s="42">
        <v>0.67</v>
      </c>
      <c r="F1244" s="35">
        <v>8.04</v>
      </c>
      <c r="G1244" s="36">
        <v>1.0</v>
      </c>
      <c r="H1244" s="43">
        <f t="shared" si="399"/>
        <v>0.7533333333</v>
      </c>
      <c r="I1244" s="43">
        <f t="shared" si="400"/>
        <v>9.04</v>
      </c>
      <c r="J1244" s="37"/>
      <c r="K1244" s="45">
        <f t="shared" si="401"/>
        <v>0</v>
      </c>
    </row>
    <row r="1245" ht="15.0" customHeight="1">
      <c r="A1245" s="39" t="s">
        <v>1527</v>
      </c>
      <c r="B1245" s="40" t="s">
        <v>1201</v>
      </c>
      <c r="C1245" s="41">
        <v>12.0</v>
      </c>
      <c r="D1245" s="33">
        <v>8.410525183768E12</v>
      </c>
      <c r="E1245" s="42">
        <v>0.67</v>
      </c>
      <c r="F1245" s="35">
        <v>8.04</v>
      </c>
      <c r="G1245" s="36">
        <v>1.0</v>
      </c>
      <c r="H1245" s="43">
        <f t="shared" si="399"/>
        <v>0.7533333333</v>
      </c>
      <c r="I1245" s="43">
        <f t="shared" si="400"/>
        <v>9.04</v>
      </c>
      <c r="J1245" s="37"/>
      <c r="K1245" s="45">
        <f t="shared" si="401"/>
        <v>0</v>
      </c>
    </row>
    <row r="1246" ht="15.0" customHeight="1">
      <c r="A1246" s="39" t="s">
        <v>1528</v>
      </c>
      <c r="B1246" s="40" t="s">
        <v>1201</v>
      </c>
      <c r="C1246" s="41">
        <v>12.0</v>
      </c>
      <c r="D1246" s="33">
        <v>8.410525126482E12</v>
      </c>
      <c r="E1246" s="42">
        <v>0.67</v>
      </c>
      <c r="F1246" s="35">
        <v>8.04</v>
      </c>
      <c r="G1246" s="36">
        <v>1.0</v>
      </c>
      <c r="H1246" s="43">
        <f t="shared" si="399"/>
        <v>0.7533333333</v>
      </c>
      <c r="I1246" s="43">
        <f t="shared" si="400"/>
        <v>9.04</v>
      </c>
      <c r="J1246" s="37"/>
      <c r="K1246" s="45">
        <f t="shared" si="401"/>
        <v>0</v>
      </c>
    </row>
    <row r="1247" ht="15.0" customHeight="1">
      <c r="A1247" s="39" t="s">
        <v>1529</v>
      </c>
      <c r="B1247" s="40" t="s">
        <v>1201</v>
      </c>
      <c r="C1247" s="41">
        <v>12.0</v>
      </c>
      <c r="D1247" s="33">
        <v>8.410525116681E12</v>
      </c>
      <c r="E1247" s="42">
        <v>0.67</v>
      </c>
      <c r="F1247" s="35">
        <v>8.04</v>
      </c>
      <c r="G1247" s="36">
        <v>1.0</v>
      </c>
      <c r="H1247" s="43">
        <f t="shared" si="399"/>
        <v>0.7533333333</v>
      </c>
      <c r="I1247" s="43">
        <f t="shared" si="400"/>
        <v>9.04</v>
      </c>
      <c r="J1247" s="37"/>
      <c r="K1247" s="45">
        <f t="shared" si="401"/>
        <v>0</v>
      </c>
    </row>
    <row r="1248" ht="15.0" customHeight="1">
      <c r="A1248" s="39" t="s">
        <v>1530</v>
      </c>
      <c r="B1248" s="40" t="s">
        <v>1201</v>
      </c>
      <c r="C1248" s="41">
        <v>12.0</v>
      </c>
      <c r="D1248" s="33">
        <v>8.410525150364E12</v>
      </c>
      <c r="E1248" s="42">
        <v>0.67</v>
      </c>
      <c r="F1248" s="35">
        <v>8.04</v>
      </c>
      <c r="G1248" s="36">
        <v>1.0</v>
      </c>
      <c r="H1248" s="43">
        <f t="shared" si="399"/>
        <v>0.7533333333</v>
      </c>
      <c r="I1248" s="43">
        <f t="shared" si="400"/>
        <v>9.04</v>
      </c>
      <c r="J1248" s="37"/>
      <c r="K1248" s="45">
        <f t="shared" si="401"/>
        <v>0</v>
      </c>
    </row>
    <row r="1249" ht="15.0" customHeight="1">
      <c r="A1249" s="39" t="s">
        <v>1531</v>
      </c>
      <c r="B1249" s="40" t="s">
        <v>1201</v>
      </c>
      <c r="C1249" s="41">
        <v>12.0</v>
      </c>
      <c r="D1249" s="33">
        <v>8.410525202575E12</v>
      </c>
      <c r="E1249" s="42">
        <v>0.67</v>
      </c>
      <c r="F1249" s="35">
        <v>8.04</v>
      </c>
      <c r="G1249" s="36">
        <v>1.0</v>
      </c>
      <c r="H1249" s="43">
        <f t="shared" si="399"/>
        <v>0.7533333333</v>
      </c>
      <c r="I1249" s="43">
        <f t="shared" si="400"/>
        <v>9.04</v>
      </c>
      <c r="J1249" s="37"/>
      <c r="K1249" s="45">
        <f t="shared" si="401"/>
        <v>0</v>
      </c>
    </row>
    <row r="1250" ht="15.0" customHeight="1">
      <c r="A1250" s="39" t="s">
        <v>1532</v>
      </c>
      <c r="B1250" s="40" t="s">
        <v>1201</v>
      </c>
      <c r="C1250" s="41">
        <v>12.0</v>
      </c>
      <c r="D1250" s="33">
        <v>8.410525125973E12</v>
      </c>
      <c r="E1250" s="42">
        <v>0.67</v>
      </c>
      <c r="F1250" s="35">
        <v>8.04</v>
      </c>
      <c r="G1250" s="36">
        <v>1.0</v>
      </c>
      <c r="H1250" s="43">
        <f t="shared" si="399"/>
        <v>0.7533333333</v>
      </c>
      <c r="I1250" s="43">
        <f t="shared" si="400"/>
        <v>9.04</v>
      </c>
      <c r="J1250" s="37"/>
      <c r="K1250" s="45">
        <f t="shared" si="401"/>
        <v>0</v>
      </c>
    </row>
    <row r="1251" ht="15.0" customHeight="1">
      <c r="A1251" s="39" t="s">
        <v>1533</v>
      </c>
      <c r="B1251" s="40" t="s">
        <v>1201</v>
      </c>
      <c r="C1251" s="41">
        <v>12.0</v>
      </c>
      <c r="D1251" s="33">
        <v>8.410525125782E12</v>
      </c>
      <c r="E1251" s="42">
        <v>0.67</v>
      </c>
      <c r="F1251" s="35">
        <v>8.04</v>
      </c>
      <c r="G1251" s="36">
        <v>1.0</v>
      </c>
      <c r="H1251" s="43">
        <f t="shared" si="399"/>
        <v>0.7533333333</v>
      </c>
      <c r="I1251" s="43">
        <f t="shared" si="400"/>
        <v>9.04</v>
      </c>
      <c r="J1251" s="37"/>
      <c r="K1251" s="45">
        <f t="shared" si="401"/>
        <v>0</v>
      </c>
    </row>
    <row r="1252" ht="15.0" customHeight="1">
      <c r="A1252" s="39" t="s">
        <v>1534</v>
      </c>
      <c r="B1252" s="40" t="s">
        <v>1201</v>
      </c>
      <c r="C1252" s="41">
        <v>12.0</v>
      </c>
      <c r="D1252" s="33">
        <v>8.410525144264E12</v>
      </c>
      <c r="E1252" s="42">
        <v>0.67</v>
      </c>
      <c r="F1252" s="35">
        <v>8.04</v>
      </c>
      <c r="G1252" s="36">
        <v>1.0</v>
      </c>
      <c r="H1252" s="43">
        <f t="shared" si="399"/>
        <v>0.7533333333</v>
      </c>
      <c r="I1252" s="43">
        <f t="shared" si="400"/>
        <v>9.04</v>
      </c>
      <c r="J1252" s="37"/>
      <c r="K1252" s="45">
        <f t="shared" si="401"/>
        <v>0</v>
      </c>
    </row>
    <row r="1253" ht="15.0" customHeight="1">
      <c r="A1253" s="39" t="s">
        <v>1535</v>
      </c>
      <c r="B1253" s="40" t="s">
        <v>1201</v>
      </c>
      <c r="C1253" s="41">
        <v>12.0</v>
      </c>
      <c r="D1253" s="33">
        <v>8.410525116735E12</v>
      </c>
      <c r="E1253" s="42">
        <v>0.67</v>
      </c>
      <c r="F1253" s="35">
        <v>8.04</v>
      </c>
      <c r="G1253" s="36">
        <v>1.0</v>
      </c>
      <c r="H1253" s="43">
        <f t="shared" si="399"/>
        <v>0.7533333333</v>
      </c>
      <c r="I1253" s="43">
        <f t="shared" si="400"/>
        <v>9.04</v>
      </c>
      <c r="J1253" s="37"/>
      <c r="K1253" s="45">
        <f t="shared" si="401"/>
        <v>0</v>
      </c>
    </row>
    <row r="1254" ht="15.0" customHeight="1">
      <c r="A1254" s="39" t="s">
        <v>1536</v>
      </c>
      <c r="B1254" s="40" t="s">
        <v>1201</v>
      </c>
      <c r="C1254" s="41">
        <v>12.0</v>
      </c>
      <c r="D1254" s="33">
        <v>8.410525125959E12</v>
      </c>
      <c r="E1254" s="42">
        <v>0.67</v>
      </c>
      <c r="F1254" s="35">
        <v>8.04</v>
      </c>
      <c r="G1254" s="36">
        <v>1.0</v>
      </c>
      <c r="H1254" s="43">
        <f t="shared" si="399"/>
        <v>0.7533333333</v>
      </c>
      <c r="I1254" s="43">
        <f t="shared" si="400"/>
        <v>9.04</v>
      </c>
      <c r="J1254" s="37"/>
      <c r="K1254" s="45">
        <f t="shared" si="401"/>
        <v>0</v>
      </c>
    </row>
    <row r="1255" ht="15.0" customHeight="1">
      <c r="A1255" s="53" t="s">
        <v>1537</v>
      </c>
      <c r="B1255" s="58" t="s">
        <v>1201</v>
      </c>
      <c r="C1255" s="58">
        <v>12.0</v>
      </c>
      <c r="D1255" s="167">
        <v>8.410525183775E12</v>
      </c>
      <c r="E1255" s="56">
        <v>0.67</v>
      </c>
      <c r="F1255" s="74">
        <v>8.04</v>
      </c>
      <c r="G1255" s="36">
        <v>1.0</v>
      </c>
      <c r="H1255" s="43">
        <f t="shared" si="399"/>
        <v>0.7533333333</v>
      </c>
      <c r="I1255" s="43">
        <f t="shared" si="400"/>
        <v>9.04</v>
      </c>
      <c r="J1255" s="37"/>
      <c r="K1255" s="45">
        <f t="shared" si="401"/>
        <v>0</v>
      </c>
    </row>
    <row r="1256" ht="15.0" customHeight="1">
      <c r="A1256" s="53" t="s">
        <v>1538</v>
      </c>
      <c r="B1256" s="58" t="s">
        <v>1539</v>
      </c>
      <c r="C1256" s="58">
        <v>12.0</v>
      </c>
      <c r="D1256" s="167">
        <v>8.410525151743E12</v>
      </c>
      <c r="E1256" s="56">
        <v>0.67</v>
      </c>
      <c r="F1256" s="74">
        <v>8.04</v>
      </c>
      <c r="G1256" s="36">
        <v>1.0</v>
      </c>
      <c r="H1256" s="43">
        <f t="shared" si="399"/>
        <v>0.7533333333</v>
      </c>
      <c r="I1256" s="43">
        <f t="shared" si="400"/>
        <v>9.04</v>
      </c>
      <c r="J1256" s="37"/>
      <c r="K1256" s="45">
        <f t="shared" si="401"/>
        <v>0</v>
      </c>
    </row>
    <row r="1257" ht="15.0" customHeight="1">
      <c r="A1257" s="48" t="s">
        <v>1540</v>
      </c>
      <c r="B1257" s="40" t="s">
        <v>1201</v>
      </c>
      <c r="C1257" s="41">
        <v>12.0</v>
      </c>
      <c r="D1257" s="33">
        <v>8.41052511678E12</v>
      </c>
      <c r="E1257" s="42">
        <v>0.67</v>
      </c>
      <c r="F1257" s="35">
        <v>8.04</v>
      </c>
      <c r="G1257" s="36">
        <v>1.0</v>
      </c>
      <c r="H1257" s="43">
        <f t="shared" si="399"/>
        <v>0.7533333333</v>
      </c>
      <c r="I1257" s="43">
        <f t="shared" si="400"/>
        <v>9.04</v>
      </c>
      <c r="J1257" s="37"/>
      <c r="K1257" s="45">
        <f t="shared" si="401"/>
        <v>0</v>
      </c>
    </row>
    <row r="1258" ht="15.0" customHeight="1">
      <c r="A1258" s="48" t="s">
        <v>1541</v>
      </c>
      <c r="B1258" s="40" t="s">
        <v>1201</v>
      </c>
      <c r="C1258" s="41">
        <v>12.0</v>
      </c>
      <c r="D1258" s="33">
        <v>8.410525261763E12</v>
      </c>
      <c r="E1258" s="42">
        <v>0.67</v>
      </c>
      <c r="F1258" s="35">
        <v>8.04</v>
      </c>
      <c r="G1258" s="36">
        <v>1.0</v>
      </c>
      <c r="H1258" s="43">
        <f t="shared" si="399"/>
        <v>0.7533333333</v>
      </c>
      <c r="I1258" s="43">
        <f t="shared" si="400"/>
        <v>9.04</v>
      </c>
      <c r="J1258" s="37"/>
      <c r="K1258" s="45">
        <f t="shared" si="401"/>
        <v>0</v>
      </c>
    </row>
    <row r="1259" ht="15.0" customHeight="1">
      <c r="A1259" s="48" t="s">
        <v>1542</v>
      </c>
      <c r="B1259" s="40" t="s">
        <v>1201</v>
      </c>
      <c r="C1259" s="41">
        <v>12.0</v>
      </c>
      <c r="D1259" s="33">
        <v>8.410525246739E12</v>
      </c>
      <c r="E1259" s="42">
        <v>0.67</v>
      </c>
      <c r="F1259" s="35">
        <v>8.04</v>
      </c>
      <c r="G1259" s="36">
        <v>1.0</v>
      </c>
      <c r="H1259" s="43">
        <f t="shared" si="399"/>
        <v>0.7533333333</v>
      </c>
      <c r="I1259" s="43">
        <f t="shared" si="400"/>
        <v>9.04</v>
      </c>
      <c r="J1259" s="37"/>
      <c r="K1259" s="45">
        <f t="shared" si="401"/>
        <v>0</v>
      </c>
    </row>
    <row r="1260" ht="15.0" customHeight="1">
      <c r="A1260" s="53" t="s">
        <v>1543</v>
      </c>
      <c r="B1260" s="58" t="s">
        <v>1199</v>
      </c>
      <c r="C1260" s="58">
        <v>12.0</v>
      </c>
      <c r="D1260" s="167">
        <v>8.410525277702E12</v>
      </c>
      <c r="E1260" s="42">
        <v>0.67</v>
      </c>
      <c r="F1260" s="35">
        <v>8.04</v>
      </c>
      <c r="G1260" s="36">
        <v>1.0</v>
      </c>
      <c r="H1260" s="43">
        <f t="shared" si="399"/>
        <v>0.7533333333</v>
      </c>
      <c r="I1260" s="43">
        <f t="shared" si="400"/>
        <v>9.04</v>
      </c>
      <c r="J1260" s="37"/>
      <c r="K1260" s="45">
        <f t="shared" si="401"/>
        <v>0</v>
      </c>
    </row>
    <row r="1261" ht="15.0" customHeight="1">
      <c r="A1261" s="53" t="s">
        <v>1544</v>
      </c>
      <c r="B1261" s="58" t="s">
        <v>1199</v>
      </c>
      <c r="C1261" s="58">
        <v>12.0</v>
      </c>
      <c r="D1261" s="167">
        <v>8.410525263057E12</v>
      </c>
      <c r="E1261" s="56">
        <v>0.67</v>
      </c>
      <c r="F1261" s="74">
        <v>8.04</v>
      </c>
      <c r="G1261" s="36">
        <v>1.0</v>
      </c>
      <c r="H1261" s="43">
        <f t="shared" si="399"/>
        <v>0.7533333333</v>
      </c>
      <c r="I1261" s="43">
        <f t="shared" si="400"/>
        <v>9.04</v>
      </c>
      <c r="J1261" s="37"/>
      <c r="K1261" s="45">
        <f t="shared" si="401"/>
        <v>0</v>
      </c>
    </row>
    <row r="1262" ht="15.0" customHeight="1">
      <c r="A1262" s="39" t="s">
        <v>1545</v>
      </c>
      <c r="B1262" s="40" t="s">
        <v>1201</v>
      </c>
      <c r="C1262" s="41">
        <v>12.0</v>
      </c>
      <c r="D1262" s="33">
        <v>8.410525206184E12</v>
      </c>
      <c r="E1262" s="42">
        <v>0.67</v>
      </c>
      <c r="F1262" s="35">
        <v>8.04</v>
      </c>
      <c r="G1262" s="36">
        <v>1.0</v>
      </c>
      <c r="H1262" s="43">
        <f t="shared" si="399"/>
        <v>0.7533333333</v>
      </c>
      <c r="I1262" s="43">
        <f t="shared" si="400"/>
        <v>9.04</v>
      </c>
      <c r="J1262" s="37"/>
      <c r="K1262" s="45">
        <f t="shared" si="401"/>
        <v>0</v>
      </c>
    </row>
    <row r="1263" ht="15.0" customHeight="1">
      <c r="A1263" s="39" t="s">
        <v>1546</v>
      </c>
      <c r="B1263" s="40" t="s">
        <v>1201</v>
      </c>
      <c r="C1263" s="41">
        <v>12.0</v>
      </c>
      <c r="D1263" s="33">
        <v>8.41052520616E12</v>
      </c>
      <c r="E1263" s="42">
        <v>0.67</v>
      </c>
      <c r="F1263" s="35">
        <v>8.04</v>
      </c>
      <c r="G1263" s="36">
        <v>1.0</v>
      </c>
      <c r="H1263" s="43">
        <f t="shared" si="399"/>
        <v>0.7533333333</v>
      </c>
      <c r="I1263" s="43">
        <f t="shared" si="400"/>
        <v>9.04</v>
      </c>
      <c r="J1263" s="37"/>
      <c r="K1263" s="45">
        <f t="shared" si="401"/>
        <v>0</v>
      </c>
    </row>
    <row r="1264" ht="15.0" customHeight="1">
      <c r="A1264" s="39" t="s">
        <v>1547</v>
      </c>
      <c r="B1264" s="40" t="s">
        <v>1199</v>
      </c>
      <c r="C1264" s="41">
        <v>12.0</v>
      </c>
      <c r="D1264" s="33">
        <v>8.410525211065E12</v>
      </c>
      <c r="E1264" s="42">
        <v>0.67</v>
      </c>
      <c r="F1264" s="35">
        <v>8.04</v>
      </c>
      <c r="G1264" s="36">
        <v>1.0</v>
      </c>
      <c r="H1264" s="43">
        <f t="shared" si="399"/>
        <v>0.7533333333</v>
      </c>
      <c r="I1264" s="43">
        <f t="shared" si="400"/>
        <v>9.04</v>
      </c>
      <c r="J1264" s="37"/>
      <c r="K1264" s="45">
        <f t="shared" si="401"/>
        <v>0</v>
      </c>
    </row>
    <row r="1265" ht="15.0" customHeight="1">
      <c r="A1265" s="39" t="s">
        <v>1548</v>
      </c>
      <c r="B1265" s="40" t="s">
        <v>1199</v>
      </c>
      <c r="C1265" s="41">
        <v>12.0</v>
      </c>
      <c r="D1265" s="33">
        <v>8.410525206191E12</v>
      </c>
      <c r="E1265" s="42">
        <v>0.67</v>
      </c>
      <c r="F1265" s="35">
        <v>8.04</v>
      </c>
      <c r="G1265" s="36">
        <v>1.0</v>
      </c>
      <c r="H1265" s="43">
        <f t="shared" si="399"/>
        <v>0.7533333333</v>
      </c>
      <c r="I1265" s="43">
        <f t="shared" si="400"/>
        <v>9.04</v>
      </c>
      <c r="J1265" s="37"/>
      <c r="K1265" s="45">
        <f t="shared" si="401"/>
        <v>0</v>
      </c>
    </row>
    <row r="1266" ht="15.0" customHeight="1">
      <c r="A1266" s="39" t="s">
        <v>1549</v>
      </c>
      <c r="B1266" s="40" t="s">
        <v>1201</v>
      </c>
      <c r="C1266" s="41">
        <v>12.0</v>
      </c>
      <c r="D1266" s="33">
        <v>8.410525211096E12</v>
      </c>
      <c r="E1266" s="42">
        <v>0.67</v>
      </c>
      <c r="F1266" s="35">
        <v>8.04</v>
      </c>
      <c r="G1266" s="36">
        <v>1.0</v>
      </c>
      <c r="H1266" s="43">
        <f t="shared" si="399"/>
        <v>0.7533333333</v>
      </c>
      <c r="I1266" s="43">
        <f t="shared" si="400"/>
        <v>9.04</v>
      </c>
      <c r="J1266" s="37"/>
      <c r="K1266" s="45">
        <f t="shared" si="401"/>
        <v>0</v>
      </c>
    </row>
    <row r="1267" ht="15.0" customHeight="1">
      <c r="A1267" s="39" t="s">
        <v>1550</v>
      </c>
      <c r="B1267" s="40" t="s">
        <v>1199</v>
      </c>
      <c r="C1267" s="41">
        <v>12.0</v>
      </c>
      <c r="D1267" s="33">
        <v>8.410525206146E12</v>
      </c>
      <c r="E1267" s="42">
        <v>0.67</v>
      </c>
      <c r="F1267" s="35">
        <v>8.04</v>
      </c>
      <c r="G1267" s="36">
        <v>1.0</v>
      </c>
      <c r="H1267" s="43">
        <f t="shared" si="399"/>
        <v>0.7533333333</v>
      </c>
      <c r="I1267" s="43">
        <f t="shared" si="400"/>
        <v>9.04</v>
      </c>
      <c r="J1267" s="37"/>
      <c r="K1267" s="45">
        <f t="shared" si="401"/>
        <v>0</v>
      </c>
    </row>
    <row r="1268" ht="15.0" customHeight="1">
      <c r="A1268" s="48" t="s">
        <v>1551</v>
      </c>
      <c r="B1268" s="40" t="s">
        <v>1201</v>
      </c>
      <c r="C1268" s="41">
        <v>12.0</v>
      </c>
      <c r="D1268" s="33">
        <v>8.410525206177E12</v>
      </c>
      <c r="E1268" s="42">
        <v>0.67</v>
      </c>
      <c r="F1268" s="35">
        <v>8.04</v>
      </c>
      <c r="G1268" s="36">
        <v>1.0</v>
      </c>
      <c r="H1268" s="43">
        <f t="shared" si="399"/>
        <v>0.7533333333</v>
      </c>
      <c r="I1268" s="43">
        <f t="shared" si="400"/>
        <v>9.04</v>
      </c>
      <c r="J1268" s="37"/>
      <c r="K1268" s="45">
        <f t="shared" si="401"/>
        <v>0</v>
      </c>
    </row>
    <row r="1269" ht="15.0" customHeight="1">
      <c r="A1269" s="154" t="s">
        <v>1552</v>
      </c>
      <c r="B1269" s="58"/>
      <c r="C1269" s="58"/>
      <c r="D1269" s="90"/>
      <c r="E1269" s="34"/>
      <c r="F1269" s="74"/>
      <c r="G1269" s="36"/>
      <c r="H1269" s="43"/>
      <c r="I1269" s="43"/>
      <c r="J1269" s="37"/>
      <c r="K1269" s="45"/>
    </row>
    <row r="1270" ht="15.0" customHeight="1">
      <c r="A1270" s="48" t="s">
        <v>1553</v>
      </c>
      <c r="B1270" s="40" t="s">
        <v>1199</v>
      </c>
      <c r="C1270" s="41">
        <v>12.0</v>
      </c>
      <c r="D1270" s="33">
        <v>8.410525216503E12</v>
      </c>
      <c r="E1270" s="42">
        <v>0.7</v>
      </c>
      <c r="F1270" s="35">
        <v>8.4</v>
      </c>
      <c r="G1270" s="36">
        <v>1.0</v>
      </c>
      <c r="H1270" s="43">
        <f t="shared" ref="H1270:H1272" si="402">I1270/C1270</f>
        <v>0.7833333333</v>
      </c>
      <c r="I1270" s="43">
        <f t="shared" ref="I1270:I1272" si="403">F1270+G1270</f>
        <v>9.4</v>
      </c>
      <c r="J1270" s="37"/>
      <c r="K1270" s="45">
        <f t="shared" ref="K1270:K1272" si="404">I1270*J1270</f>
        <v>0</v>
      </c>
    </row>
    <row r="1271" ht="15.0" customHeight="1">
      <c r="A1271" s="53" t="s">
        <v>1554</v>
      </c>
      <c r="B1271" s="58" t="s">
        <v>1199</v>
      </c>
      <c r="C1271" s="58">
        <v>12.0</v>
      </c>
      <c r="D1271" s="167">
        <v>8.41052526304E12</v>
      </c>
      <c r="E1271" s="56">
        <v>0.8</v>
      </c>
      <c r="F1271" s="74">
        <v>9.6</v>
      </c>
      <c r="G1271" s="36">
        <v>1.0</v>
      </c>
      <c r="H1271" s="43">
        <f t="shared" si="402"/>
        <v>0.8833333333</v>
      </c>
      <c r="I1271" s="43">
        <f t="shared" si="403"/>
        <v>10.6</v>
      </c>
      <c r="J1271" s="37"/>
      <c r="K1271" s="45">
        <f t="shared" si="404"/>
        <v>0</v>
      </c>
    </row>
    <row r="1272" ht="15.0" customHeight="1">
      <c r="A1272" s="53" t="s">
        <v>1555</v>
      </c>
      <c r="B1272" s="58" t="s">
        <v>1199</v>
      </c>
      <c r="C1272" s="58">
        <v>12.0</v>
      </c>
      <c r="D1272" s="167">
        <v>8.410525266379E12</v>
      </c>
      <c r="E1272" s="56">
        <v>0.8</v>
      </c>
      <c r="F1272" s="74">
        <v>9.6</v>
      </c>
      <c r="G1272" s="36">
        <v>1.0</v>
      </c>
      <c r="H1272" s="43">
        <f t="shared" si="402"/>
        <v>0.8833333333</v>
      </c>
      <c r="I1272" s="43">
        <f t="shared" si="403"/>
        <v>10.6</v>
      </c>
      <c r="J1272" s="37"/>
      <c r="K1272" s="45">
        <f t="shared" si="404"/>
        <v>0</v>
      </c>
    </row>
    <row r="1273" ht="15.0" customHeight="1">
      <c r="A1273" s="49" t="s">
        <v>1556</v>
      </c>
      <c r="B1273" s="31"/>
      <c r="C1273" s="32"/>
      <c r="D1273" s="33"/>
      <c r="E1273" s="34"/>
      <c r="F1273" s="35"/>
      <c r="G1273" s="36"/>
      <c r="H1273" s="43"/>
      <c r="I1273" s="43"/>
      <c r="J1273" s="37"/>
      <c r="K1273" s="45"/>
    </row>
    <row r="1274" ht="15.0" customHeight="1">
      <c r="A1274" s="48" t="s">
        <v>1557</v>
      </c>
      <c r="B1274" s="40" t="s">
        <v>1199</v>
      </c>
      <c r="C1274" s="41">
        <v>12.0</v>
      </c>
      <c r="D1274" s="33">
        <v>8.410525216022E12</v>
      </c>
      <c r="E1274" s="42">
        <v>0.8</v>
      </c>
      <c r="F1274" s="35">
        <v>9.6</v>
      </c>
      <c r="G1274" s="36">
        <v>1.0</v>
      </c>
      <c r="H1274" s="43">
        <f t="shared" ref="H1274:H1280" si="405">I1274/C1274</f>
        <v>0.8833333333</v>
      </c>
      <c r="I1274" s="43">
        <f t="shared" ref="I1274:I1280" si="406">F1274+G1274</f>
        <v>10.6</v>
      </c>
      <c r="J1274" s="37"/>
      <c r="K1274" s="45">
        <f t="shared" ref="K1274:K1280" si="407">I1274*J1274</f>
        <v>0</v>
      </c>
    </row>
    <row r="1275" ht="15.0" customHeight="1">
      <c r="A1275" s="48" t="s">
        <v>1558</v>
      </c>
      <c r="B1275" s="40" t="s">
        <v>1199</v>
      </c>
      <c r="C1275" s="41">
        <v>12.0</v>
      </c>
      <c r="D1275" s="33">
        <v>8.410525221071E12</v>
      </c>
      <c r="E1275" s="42">
        <v>0.8</v>
      </c>
      <c r="F1275" s="35">
        <v>9.6</v>
      </c>
      <c r="G1275" s="36">
        <v>1.0</v>
      </c>
      <c r="H1275" s="43">
        <f t="shared" si="405"/>
        <v>0.8833333333</v>
      </c>
      <c r="I1275" s="43">
        <f t="shared" si="406"/>
        <v>10.6</v>
      </c>
      <c r="J1275" s="37"/>
      <c r="K1275" s="45">
        <f t="shared" si="407"/>
        <v>0</v>
      </c>
    </row>
    <row r="1276" ht="15.0" customHeight="1">
      <c r="A1276" s="48" t="s">
        <v>1559</v>
      </c>
      <c r="B1276" s="40" t="s">
        <v>1199</v>
      </c>
      <c r="C1276" s="41">
        <v>12.0</v>
      </c>
      <c r="D1276" s="33">
        <v>8.410525180187E12</v>
      </c>
      <c r="E1276" s="42">
        <v>0.8</v>
      </c>
      <c r="F1276" s="35">
        <v>9.6</v>
      </c>
      <c r="G1276" s="36">
        <v>1.0</v>
      </c>
      <c r="H1276" s="43">
        <f t="shared" si="405"/>
        <v>0.8833333333</v>
      </c>
      <c r="I1276" s="43">
        <f t="shared" si="406"/>
        <v>10.6</v>
      </c>
      <c r="J1276" s="37"/>
      <c r="K1276" s="45">
        <f t="shared" si="407"/>
        <v>0</v>
      </c>
    </row>
    <row r="1277" ht="15.0" customHeight="1">
      <c r="A1277" s="48" t="s">
        <v>1560</v>
      </c>
      <c r="B1277" s="40" t="s">
        <v>1199</v>
      </c>
      <c r="C1277" s="41">
        <v>12.0</v>
      </c>
      <c r="D1277" s="33">
        <v>8.410525220562E12</v>
      </c>
      <c r="E1277" s="42">
        <v>0.8</v>
      </c>
      <c r="F1277" s="35">
        <v>9.6</v>
      </c>
      <c r="G1277" s="36">
        <v>1.0</v>
      </c>
      <c r="H1277" s="43">
        <f t="shared" si="405"/>
        <v>0.8833333333</v>
      </c>
      <c r="I1277" s="43">
        <f t="shared" si="406"/>
        <v>10.6</v>
      </c>
      <c r="J1277" s="37"/>
      <c r="K1277" s="45">
        <f t="shared" si="407"/>
        <v>0</v>
      </c>
    </row>
    <row r="1278" ht="15.0" customHeight="1">
      <c r="A1278" s="48" t="s">
        <v>1561</v>
      </c>
      <c r="B1278" s="40" t="s">
        <v>1199</v>
      </c>
      <c r="C1278" s="41">
        <v>12.0</v>
      </c>
      <c r="D1278" s="33">
        <v>8.410525225888E12</v>
      </c>
      <c r="E1278" s="42">
        <v>0.8</v>
      </c>
      <c r="F1278" s="35">
        <v>9.6</v>
      </c>
      <c r="G1278" s="36">
        <v>1.0</v>
      </c>
      <c r="H1278" s="43">
        <f t="shared" si="405"/>
        <v>0.8833333333</v>
      </c>
      <c r="I1278" s="43">
        <f t="shared" si="406"/>
        <v>10.6</v>
      </c>
      <c r="J1278" s="37"/>
      <c r="K1278" s="45">
        <f t="shared" si="407"/>
        <v>0</v>
      </c>
    </row>
    <row r="1279" ht="15.0" customHeight="1">
      <c r="A1279" s="48" t="s">
        <v>1562</v>
      </c>
      <c r="B1279" s="40" t="s">
        <v>1199</v>
      </c>
      <c r="C1279" s="41">
        <v>12.0</v>
      </c>
      <c r="D1279" s="33">
        <v>8.410525228193E12</v>
      </c>
      <c r="E1279" s="42">
        <v>0.8</v>
      </c>
      <c r="F1279" s="35">
        <v>9.6</v>
      </c>
      <c r="G1279" s="36">
        <v>1.0</v>
      </c>
      <c r="H1279" s="43">
        <f t="shared" si="405"/>
        <v>0.8833333333</v>
      </c>
      <c r="I1279" s="43">
        <f t="shared" si="406"/>
        <v>10.6</v>
      </c>
      <c r="J1279" s="37"/>
      <c r="K1279" s="45">
        <f t="shared" si="407"/>
        <v>0</v>
      </c>
    </row>
    <row r="1280" ht="15.0" customHeight="1">
      <c r="A1280" s="48" t="s">
        <v>1563</v>
      </c>
      <c r="B1280" s="40" t="s">
        <v>1199</v>
      </c>
      <c r="C1280" s="41">
        <v>12.0</v>
      </c>
      <c r="D1280" s="33">
        <v>8.410525259913E12</v>
      </c>
      <c r="E1280" s="42">
        <v>0.8</v>
      </c>
      <c r="F1280" s="35">
        <v>9.6</v>
      </c>
      <c r="G1280" s="36">
        <v>1.0</v>
      </c>
      <c r="H1280" s="43">
        <f t="shared" si="405"/>
        <v>0.8833333333</v>
      </c>
      <c r="I1280" s="43">
        <f t="shared" si="406"/>
        <v>10.6</v>
      </c>
      <c r="J1280" s="37"/>
      <c r="K1280" s="45">
        <f t="shared" si="407"/>
        <v>0</v>
      </c>
    </row>
    <row r="1281" ht="15.0" customHeight="1">
      <c r="A1281" s="48" t="s">
        <v>1564</v>
      </c>
      <c r="B1281" s="40" t="s">
        <v>1127</v>
      </c>
      <c r="C1281" s="41">
        <v>1.0</v>
      </c>
      <c r="D1281" s="33" t="s">
        <v>1127</v>
      </c>
      <c r="E1281" s="34"/>
      <c r="F1281" s="35"/>
      <c r="G1281" s="36" t="s">
        <v>1127</v>
      </c>
      <c r="H1281" s="43"/>
      <c r="I1281" s="43"/>
      <c r="J1281" s="37"/>
      <c r="K1281" s="45"/>
    </row>
    <row r="1282" ht="15.0" customHeight="1">
      <c r="A1282" s="48" t="s">
        <v>1565</v>
      </c>
      <c r="B1282" s="40" t="s">
        <v>1127</v>
      </c>
      <c r="C1282" s="41">
        <v>1.0</v>
      </c>
      <c r="D1282" s="33" t="s">
        <v>1127</v>
      </c>
      <c r="E1282" s="34"/>
      <c r="F1282" s="35"/>
      <c r="G1282" s="36" t="s">
        <v>1127</v>
      </c>
      <c r="H1282" s="43"/>
      <c r="I1282" s="43"/>
      <c r="J1282" s="37"/>
      <c r="K1282" s="45"/>
    </row>
    <row r="1283" ht="15.0" customHeight="1">
      <c r="A1283" s="48" t="s">
        <v>1566</v>
      </c>
      <c r="B1283" s="40" t="s">
        <v>1127</v>
      </c>
      <c r="C1283" s="41">
        <v>1.0</v>
      </c>
      <c r="D1283" s="33" t="s">
        <v>1127</v>
      </c>
      <c r="E1283" s="34"/>
      <c r="F1283" s="35"/>
      <c r="G1283" s="36" t="s">
        <v>1127</v>
      </c>
      <c r="H1283" s="43"/>
      <c r="I1283" s="43"/>
      <c r="J1283" s="37"/>
      <c r="K1283" s="45"/>
    </row>
    <row r="1284" ht="15.0" customHeight="1">
      <c r="A1284" s="49" t="s">
        <v>1567</v>
      </c>
      <c r="B1284" s="140"/>
      <c r="C1284" s="141"/>
      <c r="D1284" s="33"/>
      <c r="E1284" s="34"/>
      <c r="F1284" s="35"/>
      <c r="G1284" s="36"/>
      <c r="H1284" s="43"/>
      <c r="I1284" s="43"/>
      <c r="J1284" s="37"/>
      <c r="K1284" s="45"/>
    </row>
    <row r="1285" ht="15.0" customHeight="1">
      <c r="A1285" s="48" t="s">
        <v>1568</v>
      </c>
      <c r="B1285" s="40" t="s">
        <v>1569</v>
      </c>
      <c r="C1285" s="41">
        <v>30.0</v>
      </c>
      <c r="D1285" s="33">
        <v>8.410525238338E12</v>
      </c>
      <c r="E1285" s="42">
        <v>1.25</v>
      </c>
      <c r="F1285" s="35">
        <v>37.5</v>
      </c>
      <c r="G1285" s="36">
        <v>2.0</v>
      </c>
      <c r="H1285" s="43">
        <f t="shared" ref="H1285:H1290" si="408">I1285/C1285</f>
        <v>1.316666667</v>
      </c>
      <c r="I1285" s="43">
        <f t="shared" ref="I1285:I1290" si="409">F1285+G1285</f>
        <v>39.5</v>
      </c>
      <c r="J1285" s="37"/>
      <c r="K1285" s="45">
        <f t="shared" ref="K1285:K1290" si="410">I1285*J1285</f>
        <v>0</v>
      </c>
    </row>
    <row r="1286" ht="15.0" customHeight="1">
      <c r="A1286" s="48" t="s">
        <v>1570</v>
      </c>
      <c r="B1286" s="40" t="s">
        <v>1354</v>
      </c>
      <c r="C1286" s="41">
        <v>18.0</v>
      </c>
      <c r="D1286" s="33">
        <v>8.410525183096E12</v>
      </c>
      <c r="E1286" s="42">
        <v>4.5</v>
      </c>
      <c r="F1286" s="35">
        <v>81.0</v>
      </c>
      <c r="G1286" s="36">
        <v>1.0</v>
      </c>
      <c r="H1286" s="43">
        <f t="shared" si="408"/>
        <v>4.555555556</v>
      </c>
      <c r="I1286" s="43">
        <f t="shared" si="409"/>
        <v>82</v>
      </c>
      <c r="J1286" s="37"/>
      <c r="K1286" s="45">
        <f t="shared" si="410"/>
        <v>0</v>
      </c>
    </row>
    <row r="1287" ht="15.0" customHeight="1">
      <c r="A1287" s="48" t="s">
        <v>1571</v>
      </c>
      <c r="B1287" s="40" t="s">
        <v>1345</v>
      </c>
      <c r="C1287" s="41">
        <v>40.0</v>
      </c>
      <c r="D1287" s="33">
        <v>8.410525127892E12</v>
      </c>
      <c r="E1287" s="42">
        <v>0.25</v>
      </c>
      <c r="F1287" s="35">
        <v>10.0</v>
      </c>
      <c r="G1287" s="36">
        <v>2.0</v>
      </c>
      <c r="H1287" s="43">
        <f t="shared" si="408"/>
        <v>0.3</v>
      </c>
      <c r="I1287" s="43">
        <f t="shared" si="409"/>
        <v>12</v>
      </c>
      <c r="J1287" s="37"/>
      <c r="K1287" s="45">
        <f t="shared" si="410"/>
        <v>0</v>
      </c>
    </row>
    <row r="1288" ht="15.0" customHeight="1">
      <c r="A1288" s="48" t="s">
        <v>1572</v>
      </c>
      <c r="B1288" s="40" t="s">
        <v>1345</v>
      </c>
      <c r="C1288" s="41">
        <v>18.0</v>
      </c>
      <c r="D1288" s="33">
        <v>8.410525275012E12</v>
      </c>
      <c r="E1288" s="42">
        <v>0.25</v>
      </c>
      <c r="F1288" s="35">
        <v>4.5</v>
      </c>
      <c r="G1288" s="36">
        <v>2.0</v>
      </c>
      <c r="H1288" s="43">
        <f t="shared" si="408"/>
        <v>0.3611111111</v>
      </c>
      <c r="I1288" s="43">
        <f t="shared" si="409"/>
        <v>6.5</v>
      </c>
      <c r="J1288" s="37"/>
      <c r="K1288" s="45">
        <f t="shared" si="410"/>
        <v>0</v>
      </c>
    </row>
    <row r="1289" ht="15.0" customHeight="1">
      <c r="A1289" s="48" t="s">
        <v>1573</v>
      </c>
      <c r="B1289" s="40" t="s">
        <v>1345</v>
      </c>
      <c r="C1289" s="41">
        <v>18.0</v>
      </c>
      <c r="D1289" s="33">
        <v>8.410525159046E12</v>
      </c>
      <c r="E1289" s="42">
        <v>0.25</v>
      </c>
      <c r="F1289" s="35">
        <v>4.5</v>
      </c>
      <c r="G1289" s="36">
        <v>2.0</v>
      </c>
      <c r="H1289" s="43">
        <f t="shared" si="408"/>
        <v>0.3611111111</v>
      </c>
      <c r="I1289" s="43">
        <f t="shared" si="409"/>
        <v>6.5</v>
      </c>
      <c r="J1289" s="37"/>
      <c r="K1289" s="45">
        <f t="shared" si="410"/>
        <v>0</v>
      </c>
    </row>
    <row r="1290" ht="15.0" customHeight="1">
      <c r="A1290" s="48" t="s">
        <v>1574</v>
      </c>
      <c r="B1290" s="40" t="s">
        <v>1345</v>
      </c>
      <c r="C1290" s="41">
        <v>40.0</v>
      </c>
      <c r="D1290" s="33">
        <v>8.410525200175E12</v>
      </c>
      <c r="E1290" s="42">
        <v>0.25</v>
      </c>
      <c r="F1290" s="35">
        <v>10.0</v>
      </c>
      <c r="G1290" s="36">
        <v>2.0</v>
      </c>
      <c r="H1290" s="43">
        <f t="shared" si="408"/>
        <v>0.3</v>
      </c>
      <c r="I1290" s="43">
        <f t="shared" si="409"/>
        <v>12</v>
      </c>
      <c r="J1290" s="37"/>
      <c r="K1290" s="45">
        <f t="shared" si="410"/>
        <v>0</v>
      </c>
    </row>
    <row r="1291" ht="15.0" customHeight="1">
      <c r="A1291" s="49" t="s">
        <v>1575</v>
      </c>
      <c r="B1291" s="140"/>
      <c r="C1291" s="141"/>
      <c r="D1291" s="33"/>
      <c r="E1291" s="34"/>
      <c r="F1291" s="35"/>
      <c r="G1291" s="36"/>
      <c r="H1291" s="43"/>
      <c r="I1291" s="43"/>
      <c r="J1291" s="37"/>
      <c r="K1291" s="45"/>
    </row>
    <row r="1292" ht="15.0" customHeight="1">
      <c r="A1292" s="53" t="s">
        <v>1576</v>
      </c>
      <c r="B1292" s="58" t="s">
        <v>1577</v>
      </c>
      <c r="C1292" s="58">
        <v>50.0</v>
      </c>
      <c r="D1292" s="51" t="s">
        <v>1578</v>
      </c>
      <c r="E1292" s="56">
        <v>0.4</v>
      </c>
      <c r="F1292" s="35">
        <v>20.0</v>
      </c>
      <c r="G1292" s="36">
        <v>1.0</v>
      </c>
      <c r="H1292" s="43">
        <f t="shared" ref="H1292:H1320" si="411">I1292/C1292</f>
        <v>0.42</v>
      </c>
      <c r="I1292" s="43">
        <f t="shared" ref="I1292:I1320" si="412">F1292+G1292</f>
        <v>21</v>
      </c>
      <c r="J1292" s="37"/>
      <c r="K1292" s="45">
        <f t="shared" ref="K1292:K1320" si="413">I1292*J1292</f>
        <v>0</v>
      </c>
    </row>
    <row r="1293" ht="15.0" customHeight="1">
      <c r="A1293" s="53" t="s">
        <v>1579</v>
      </c>
      <c r="B1293" s="58" t="s">
        <v>1577</v>
      </c>
      <c r="C1293" s="58">
        <v>50.0</v>
      </c>
      <c r="D1293" s="51" t="s">
        <v>1580</v>
      </c>
      <c r="E1293" s="56">
        <v>0.4</v>
      </c>
      <c r="F1293" s="35">
        <v>20.0</v>
      </c>
      <c r="G1293" s="36">
        <v>1.0</v>
      </c>
      <c r="H1293" s="43">
        <f t="shared" si="411"/>
        <v>0.42</v>
      </c>
      <c r="I1293" s="43">
        <f t="shared" si="412"/>
        <v>21</v>
      </c>
      <c r="J1293" s="37"/>
      <c r="K1293" s="45">
        <f t="shared" si="413"/>
        <v>0</v>
      </c>
    </row>
    <row r="1294" ht="15.0" customHeight="1">
      <c r="A1294" s="53" t="s">
        <v>1581</v>
      </c>
      <c r="B1294" s="58" t="s">
        <v>1577</v>
      </c>
      <c r="C1294" s="58">
        <v>50.0</v>
      </c>
      <c r="D1294" s="51" t="s">
        <v>1582</v>
      </c>
      <c r="E1294" s="56">
        <v>0.4</v>
      </c>
      <c r="F1294" s="35">
        <v>20.0</v>
      </c>
      <c r="G1294" s="36">
        <v>1.0</v>
      </c>
      <c r="H1294" s="43">
        <f t="shared" si="411"/>
        <v>0.42</v>
      </c>
      <c r="I1294" s="43">
        <f t="shared" si="412"/>
        <v>21</v>
      </c>
      <c r="J1294" s="37"/>
      <c r="K1294" s="45">
        <f t="shared" si="413"/>
        <v>0</v>
      </c>
    </row>
    <row r="1295" ht="15.0" customHeight="1">
      <c r="A1295" s="53" t="s">
        <v>1583</v>
      </c>
      <c r="B1295" s="58" t="s">
        <v>1584</v>
      </c>
      <c r="C1295" s="58">
        <v>15.0</v>
      </c>
      <c r="D1295" s="51" t="s">
        <v>1585</v>
      </c>
      <c r="E1295" s="56">
        <v>1.25</v>
      </c>
      <c r="F1295" s="35">
        <v>18.75</v>
      </c>
      <c r="G1295" s="36">
        <v>1.0</v>
      </c>
      <c r="H1295" s="43">
        <f t="shared" si="411"/>
        <v>1.316666667</v>
      </c>
      <c r="I1295" s="43">
        <f t="shared" si="412"/>
        <v>19.75</v>
      </c>
      <c r="J1295" s="37"/>
      <c r="K1295" s="45">
        <f t="shared" si="413"/>
        <v>0</v>
      </c>
    </row>
    <row r="1296" ht="15.0" customHeight="1">
      <c r="A1296" s="53" t="s">
        <v>1586</v>
      </c>
      <c r="B1296" s="58" t="s">
        <v>1587</v>
      </c>
      <c r="C1296" s="58">
        <v>12.0</v>
      </c>
      <c r="D1296" s="51" t="s">
        <v>1588</v>
      </c>
      <c r="E1296" s="56">
        <v>1.15</v>
      </c>
      <c r="F1296" s="35">
        <v>13.8</v>
      </c>
      <c r="G1296" s="36">
        <v>1.0</v>
      </c>
      <c r="H1296" s="43">
        <f t="shared" si="411"/>
        <v>1.233333333</v>
      </c>
      <c r="I1296" s="43">
        <f t="shared" si="412"/>
        <v>14.8</v>
      </c>
      <c r="J1296" s="37"/>
      <c r="K1296" s="45">
        <f t="shared" si="413"/>
        <v>0</v>
      </c>
    </row>
    <row r="1297" ht="15.0" customHeight="1">
      <c r="A1297" s="53" t="s">
        <v>1589</v>
      </c>
      <c r="B1297" s="58" t="s">
        <v>1590</v>
      </c>
      <c r="C1297" s="50">
        <v>8.0</v>
      </c>
      <c r="D1297" s="51" t="s">
        <v>1591</v>
      </c>
      <c r="E1297" s="180">
        <v>1.2</v>
      </c>
      <c r="F1297" s="35">
        <v>14.4</v>
      </c>
      <c r="G1297" s="36">
        <v>1.0</v>
      </c>
      <c r="H1297" s="43">
        <f t="shared" si="411"/>
        <v>1.925</v>
      </c>
      <c r="I1297" s="43">
        <f t="shared" si="412"/>
        <v>15.4</v>
      </c>
      <c r="J1297" s="37"/>
      <c r="K1297" s="45">
        <f t="shared" si="413"/>
        <v>0</v>
      </c>
    </row>
    <row r="1298" ht="15.0" customHeight="1">
      <c r="A1298" s="181" t="s">
        <v>1592</v>
      </c>
      <c r="B1298" s="152" t="s">
        <v>1242</v>
      </c>
      <c r="C1298" s="152">
        <v>12.0</v>
      </c>
      <c r="D1298" s="90" t="s">
        <v>1593</v>
      </c>
      <c r="E1298" s="56">
        <v>2.45</v>
      </c>
      <c r="F1298" s="35">
        <v>29.4</v>
      </c>
      <c r="G1298" s="36">
        <v>1.0</v>
      </c>
      <c r="H1298" s="43">
        <f t="shared" si="411"/>
        <v>2.533333333</v>
      </c>
      <c r="I1298" s="43">
        <f t="shared" si="412"/>
        <v>30.4</v>
      </c>
      <c r="J1298" s="37"/>
      <c r="K1298" s="45">
        <f t="shared" si="413"/>
        <v>0</v>
      </c>
    </row>
    <row r="1299" ht="15.0" customHeight="1">
      <c r="A1299" s="181" t="s">
        <v>1594</v>
      </c>
      <c r="B1299" s="152" t="s">
        <v>1242</v>
      </c>
      <c r="C1299" s="152">
        <v>12.0</v>
      </c>
      <c r="D1299" s="167" t="s">
        <v>1595</v>
      </c>
      <c r="E1299" s="56">
        <v>2.45</v>
      </c>
      <c r="F1299" s="35">
        <v>29.4</v>
      </c>
      <c r="G1299" s="36">
        <v>1.0</v>
      </c>
      <c r="H1299" s="43">
        <f t="shared" si="411"/>
        <v>2.533333333</v>
      </c>
      <c r="I1299" s="43">
        <f t="shared" si="412"/>
        <v>30.4</v>
      </c>
      <c r="J1299" s="37"/>
      <c r="K1299" s="45">
        <f t="shared" si="413"/>
        <v>0</v>
      </c>
    </row>
    <row r="1300" ht="15.0" customHeight="1">
      <c r="A1300" s="181" t="s">
        <v>1596</v>
      </c>
      <c r="B1300" s="152" t="s">
        <v>1242</v>
      </c>
      <c r="C1300" s="152">
        <v>12.0</v>
      </c>
      <c r="D1300" s="113" t="s">
        <v>1597</v>
      </c>
      <c r="E1300" s="56">
        <v>2.45</v>
      </c>
      <c r="F1300" s="35">
        <v>29.4</v>
      </c>
      <c r="G1300" s="36">
        <v>1.0</v>
      </c>
      <c r="H1300" s="43">
        <f t="shared" si="411"/>
        <v>2.533333333</v>
      </c>
      <c r="I1300" s="43">
        <f t="shared" si="412"/>
        <v>30.4</v>
      </c>
      <c r="J1300" s="37"/>
      <c r="K1300" s="45">
        <f t="shared" si="413"/>
        <v>0</v>
      </c>
    </row>
    <row r="1301" ht="15.0" customHeight="1">
      <c r="A1301" s="172" t="s">
        <v>1598</v>
      </c>
      <c r="B1301" s="152" t="s">
        <v>1599</v>
      </c>
      <c r="C1301" s="152">
        <v>36.0</v>
      </c>
      <c r="D1301" s="167">
        <v>1.23000013178E12</v>
      </c>
      <c r="E1301" s="56">
        <v>1.95</v>
      </c>
      <c r="F1301" s="35">
        <v>70.2</v>
      </c>
      <c r="G1301" s="36">
        <v>5.0</v>
      </c>
      <c r="H1301" s="43">
        <f t="shared" si="411"/>
        <v>2.088888889</v>
      </c>
      <c r="I1301" s="43">
        <f t="shared" si="412"/>
        <v>75.2</v>
      </c>
      <c r="J1301" s="37"/>
      <c r="K1301" s="45">
        <f t="shared" si="413"/>
        <v>0</v>
      </c>
    </row>
    <row r="1302" ht="15.0" customHeight="1">
      <c r="A1302" s="172" t="s">
        <v>1600</v>
      </c>
      <c r="B1302" s="152" t="s">
        <v>1599</v>
      </c>
      <c r="C1302" s="152">
        <v>36.0</v>
      </c>
      <c r="D1302" s="167">
        <v>1.230000131827E12</v>
      </c>
      <c r="E1302" s="56">
        <v>1.95</v>
      </c>
      <c r="F1302" s="35">
        <v>70.2</v>
      </c>
      <c r="G1302" s="36">
        <v>5.0</v>
      </c>
      <c r="H1302" s="43">
        <f t="shared" si="411"/>
        <v>2.088888889</v>
      </c>
      <c r="I1302" s="43">
        <f t="shared" si="412"/>
        <v>75.2</v>
      </c>
      <c r="J1302" s="37"/>
      <c r="K1302" s="45">
        <f t="shared" si="413"/>
        <v>0</v>
      </c>
    </row>
    <row r="1303" ht="15.0" customHeight="1">
      <c r="A1303" s="181" t="s">
        <v>1601</v>
      </c>
      <c r="B1303" s="40" t="s">
        <v>1602</v>
      </c>
      <c r="C1303" s="40">
        <v>24.0</v>
      </c>
      <c r="D1303" s="90" t="s">
        <v>1603</v>
      </c>
      <c r="E1303" s="56">
        <v>2.99</v>
      </c>
      <c r="F1303" s="40">
        <f>E1303*C1303</f>
        <v>71.76</v>
      </c>
      <c r="G1303" s="36">
        <v>1.0</v>
      </c>
      <c r="H1303" s="43">
        <f t="shared" si="411"/>
        <v>3.031666667</v>
      </c>
      <c r="I1303" s="43">
        <f t="shared" si="412"/>
        <v>72.76</v>
      </c>
      <c r="J1303" s="38"/>
      <c r="K1303" s="45">
        <f t="shared" si="413"/>
        <v>0</v>
      </c>
    </row>
    <row r="1304" ht="15.0" customHeight="1">
      <c r="A1304" s="48" t="s">
        <v>1604</v>
      </c>
      <c r="B1304" s="40" t="s">
        <v>1254</v>
      </c>
      <c r="C1304" s="41">
        <v>12.0</v>
      </c>
      <c r="D1304" s="33">
        <v>3.58840026277E12</v>
      </c>
      <c r="E1304" s="42">
        <v>1.25</v>
      </c>
      <c r="F1304" s="35">
        <v>15.0</v>
      </c>
      <c r="G1304" s="36">
        <v>1.0</v>
      </c>
      <c r="H1304" s="43">
        <f t="shared" si="411"/>
        <v>1.333333333</v>
      </c>
      <c r="I1304" s="43">
        <f t="shared" si="412"/>
        <v>16</v>
      </c>
      <c r="J1304" s="37"/>
      <c r="K1304" s="45">
        <f t="shared" si="413"/>
        <v>0</v>
      </c>
    </row>
    <row r="1305" ht="15.0" customHeight="1">
      <c r="A1305" s="48" t="s">
        <v>1605</v>
      </c>
      <c r="B1305" s="40" t="s">
        <v>1418</v>
      </c>
      <c r="C1305" s="41">
        <v>24.0</v>
      </c>
      <c r="D1305" s="33">
        <v>3.588400256328E12</v>
      </c>
      <c r="E1305" s="42">
        <v>1.25</v>
      </c>
      <c r="F1305" s="35">
        <v>30.0</v>
      </c>
      <c r="G1305" s="36">
        <v>3.0</v>
      </c>
      <c r="H1305" s="43">
        <f t="shared" si="411"/>
        <v>1.375</v>
      </c>
      <c r="I1305" s="43">
        <f t="shared" si="412"/>
        <v>33</v>
      </c>
      <c r="J1305" s="37"/>
      <c r="K1305" s="45">
        <f t="shared" si="413"/>
        <v>0</v>
      </c>
    </row>
    <row r="1306" ht="15.0" customHeight="1">
      <c r="A1306" s="53" t="s">
        <v>1606</v>
      </c>
      <c r="B1306" s="58" t="s">
        <v>1607</v>
      </c>
      <c r="C1306" s="58">
        <v>24.0</v>
      </c>
      <c r="D1306" s="51" t="s">
        <v>1608</v>
      </c>
      <c r="E1306" s="42">
        <v>1.25</v>
      </c>
      <c r="F1306" s="35">
        <v>30.0</v>
      </c>
      <c r="G1306" s="36">
        <v>1.0</v>
      </c>
      <c r="H1306" s="43">
        <f t="shared" si="411"/>
        <v>1.291666667</v>
      </c>
      <c r="I1306" s="43">
        <f t="shared" si="412"/>
        <v>31</v>
      </c>
      <c r="J1306" s="37"/>
      <c r="K1306" s="45">
        <f t="shared" si="413"/>
        <v>0</v>
      </c>
    </row>
    <row r="1307" ht="15.0" customHeight="1">
      <c r="A1307" s="48" t="s">
        <v>1609</v>
      </c>
      <c r="B1307" s="40" t="s">
        <v>1199</v>
      </c>
      <c r="C1307" s="41">
        <v>1.0</v>
      </c>
      <c r="D1307" s="33">
        <v>8.420886901802E12</v>
      </c>
      <c r="E1307" s="42">
        <v>9.3</v>
      </c>
      <c r="F1307" s="35">
        <v>9.3</v>
      </c>
      <c r="G1307" s="36">
        <v>1.0</v>
      </c>
      <c r="H1307" s="43">
        <f t="shared" si="411"/>
        <v>10.3</v>
      </c>
      <c r="I1307" s="43">
        <f t="shared" si="412"/>
        <v>10.3</v>
      </c>
      <c r="J1307" s="37"/>
      <c r="K1307" s="45">
        <f t="shared" si="413"/>
        <v>0</v>
      </c>
    </row>
    <row r="1308" ht="15.0" customHeight="1">
      <c r="A1308" s="48" t="s">
        <v>1610</v>
      </c>
      <c r="B1308" s="40" t="s">
        <v>1611</v>
      </c>
      <c r="C1308" s="41">
        <v>36.0</v>
      </c>
      <c r="D1308" s="91">
        <v>8.992741906906E12</v>
      </c>
      <c r="E1308" s="42">
        <v>0.75</v>
      </c>
      <c r="F1308" s="35">
        <v>27.0</v>
      </c>
      <c r="G1308" s="36">
        <v>2.0</v>
      </c>
      <c r="H1308" s="43">
        <f t="shared" si="411"/>
        <v>0.8055555556</v>
      </c>
      <c r="I1308" s="43">
        <f t="shared" si="412"/>
        <v>29</v>
      </c>
      <c r="J1308" s="37"/>
      <c r="K1308" s="45">
        <f t="shared" si="413"/>
        <v>0</v>
      </c>
    </row>
    <row r="1309" ht="15.0" customHeight="1">
      <c r="A1309" s="48" t="s">
        <v>1612</v>
      </c>
      <c r="B1309" s="40" t="s">
        <v>1611</v>
      </c>
      <c r="C1309" s="41">
        <v>18.0</v>
      </c>
      <c r="D1309" s="91">
        <v>8.99274190689E12</v>
      </c>
      <c r="E1309" s="42">
        <v>0.75</v>
      </c>
      <c r="F1309" s="35">
        <v>13.5</v>
      </c>
      <c r="G1309" s="36">
        <v>1.0</v>
      </c>
      <c r="H1309" s="43">
        <f t="shared" si="411"/>
        <v>0.8055555556</v>
      </c>
      <c r="I1309" s="43">
        <f t="shared" si="412"/>
        <v>14.5</v>
      </c>
      <c r="J1309" s="37"/>
      <c r="K1309" s="45">
        <f t="shared" si="413"/>
        <v>0</v>
      </c>
      <c r="M1309" s="46"/>
    </row>
    <row r="1310" ht="15.0" customHeight="1">
      <c r="A1310" s="48" t="s">
        <v>1613</v>
      </c>
      <c r="B1310" s="40" t="s">
        <v>1418</v>
      </c>
      <c r="C1310" s="41">
        <v>180.0</v>
      </c>
      <c r="D1310" s="33">
        <v>4.000512008903E12</v>
      </c>
      <c r="E1310" s="42">
        <v>0.9</v>
      </c>
      <c r="F1310" s="35">
        <v>162.0</v>
      </c>
      <c r="G1310" s="36">
        <v>10.0</v>
      </c>
      <c r="H1310" s="43">
        <f t="shared" si="411"/>
        <v>0.9555555556</v>
      </c>
      <c r="I1310" s="43">
        <f t="shared" si="412"/>
        <v>172</v>
      </c>
      <c r="J1310" s="37"/>
      <c r="K1310" s="45">
        <f t="shared" si="413"/>
        <v>0</v>
      </c>
    </row>
    <row r="1311" ht="15.0" customHeight="1">
      <c r="A1311" s="48" t="s">
        <v>1614</v>
      </c>
      <c r="B1311" s="40" t="s">
        <v>1287</v>
      </c>
      <c r="C1311" s="41">
        <v>48.0</v>
      </c>
      <c r="D1311" s="33">
        <v>5.011061161352E12</v>
      </c>
      <c r="E1311" s="42">
        <v>0.99</v>
      </c>
      <c r="F1311" s="35">
        <v>47.52</v>
      </c>
      <c r="G1311" s="36">
        <v>3.0</v>
      </c>
      <c r="H1311" s="43">
        <f t="shared" si="411"/>
        <v>1.0525</v>
      </c>
      <c r="I1311" s="43">
        <f t="shared" si="412"/>
        <v>50.52</v>
      </c>
      <c r="J1311" s="37"/>
      <c r="K1311" s="45">
        <f t="shared" si="413"/>
        <v>0</v>
      </c>
    </row>
    <row r="1312" ht="15.0" customHeight="1">
      <c r="A1312" s="48" t="s">
        <v>1615</v>
      </c>
      <c r="B1312" s="40" t="s">
        <v>1287</v>
      </c>
      <c r="C1312" s="41">
        <v>48.0</v>
      </c>
      <c r="D1312" s="33">
        <v>5.011061101617E12</v>
      </c>
      <c r="E1312" s="42">
        <v>0.99</v>
      </c>
      <c r="F1312" s="35">
        <v>47.52</v>
      </c>
      <c r="G1312" s="36">
        <v>3.0</v>
      </c>
      <c r="H1312" s="43">
        <f t="shared" si="411"/>
        <v>1.0525</v>
      </c>
      <c r="I1312" s="43">
        <f t="shared" si="412"/>
        <v>50.52</v>
      </c>
      <c r="J1312" s="37"/>
      <c r="K1312" s="45">
        <f t="shared" si="413"/>
        <v>0</v>
      </c>
    </row>
    <row r="1313" ht="15.0" customHeight="1">
      <c r="A1313" s="53" t="s">
        <v>1616</v>
      </c>
      <c r="B1313" s="40" t="s">
        <v>1206</v>
      </c>
      <c r="C1313" s="40">
        <v>8.0</v>
      </c>
      <c r="D1313" s="182" t="s">
        <v>1617</v>
      </c>
      <c r="E1313" s="42">
        <v>2.05</v>
      </c>
      <c r="F1313" s="35">
        <v>24.6</v>
      </c>
      <c r="G1313" s="36">
        <v>1.0</v>
      </c>
      <c r="H1313" s="43">
        <f t="shared" si="411"/>
        <v>3.2</v>
      </c>
      <c r="I1313" s="43">
        <f t="shared" si="412"/>
        <v>25.6</v>
      </c>
      <c r="J1313" s="37"/>
      <c r="K1313" s="45">
        <f t="shared" si="413"/>
        <v>0</v>
      </c>
    </row>
    <row r="1314" ht="15.0" customHeight="1">
      <c r="A1314" s="48" t="s">
        <v>1618</v>
      </c>
      <c r="B1314" s="40" t="s">
        <v>1619</v>
      </c>
      <c r="C1314" s="41">
        <v>21.0</v>
      </c>
      <c r="D1314" s="33">
        <v>4.000512363729E12</v>
      </c>
      <c r="E1314" s="42">
        <v>1.99</v>
      </c>
      <c r="F1314" s="35">
        <v>41.79</v>
      </c>
      <c r="G1314" s="36">
        <v>3.0</v>
      </c>
      <c r="H1314" s="43">
        <f t="shared" si="411"/>
        <v>2.132857143</v>
      </c>
      <c r="I1314" s="43">
        <f t="shared" si="412"/>
        <v>44.79</v>
      </c>
      <c r="J1314" s="37"/>
      <c r="K1314" s="45">
        <f t="shared" si="413"/>
        <v>0</v>
      </c>
    </row>
    <row r="1315" ht="15.0" customHeight="1">
      <c r="A1315" s="48" t="s">
        <v>1620</v>
      </c>
      <c r="B1315" s="40" t="s">
        <v>1621</v>
      </c>
      <c r="C1315" s="41">
        <v>60.0</v>
      </c>
      <c r="D1315" s="33">
        <v>4.000512992622E12</v>
      </c>
      <c r="E1315" s="42">
        <v>0.65</v>
      </c>
      <c r="F1315" s="35">
        <v>39.0</v>
      </c>
      <c r="G1315" s="36">
        <v>3.0</v>
      </c>
      <c r="H1315" s="43">
        <f t="shared" si="411"/>
        <v>0.7</v>
      </c>
      <c r="I1315" s="43">
        <f t="shared" si="412"/>
        <v>42</v>
      </c>
      <c r="J1315" s="37"/>
      <c r="K1315" s="45">
        <f t="shared" si="413"/>
        <v>0</v>
      </c>
    </row>
    <row r="1316" ht="15.0" customHeight="1">
      <c r="A1316" s="48" t="s">
        <v>1622</v>
      </c>
      <c r="B1316" s="40" t="s">
        <v>1577</v>
      </c>
      <c r="C1316" s="41">
        <v>50.0</v>
      </c>
      <c r="D1316" s="33">
        <v>3.588400264972E12</v>
      </c>
      <c r="E1316" s="42">
        <v>0.4</v>
      </c>
      <c r="F1316" s="35">
        <v>20.0</v>
      </c>
      <c r="G1316" s="36">
        <v>1.0</v>
      </c>
      <c r="H1316" s="43">
        <f t="shared" si="411"/>
        <v>0.42</v>
      </c>
      <c r="I1316" s="43">
        <f t="shared" si="412"/>
        <v>21</v>
      </c>
      <c r="J1316" s="37"/>
      <c r="K1316" s="45">
        <f t="shared" si="413"/>
        <v>0</v>
      </c>
    </row>
    <row r="1317" ht="15.0" customHeight="1">
      <c r="A1317" s="48" t="s">
        <v>1623</v>
      </c>
      <c r="B1317" s="40" t="s">
        <v>1624</v>
      </c>
      <c r="C1317" s="41">
        <v>36.0</v>
      </c>
      <c r="D1317" s="33">
        <v>5.997255708346E12</v>
      </c>
      <c r="E1317" s="42">
        <v>1.8</v>
      </c>
      <c r="F1317" s="35">
        <v>64.8</v>
      </c>
      <c r="G1317" s="36">
        <v>5.0</v>
      </c>
      <c r="H1317" s="43">
        <f t="shared" si="411"/>
        <v>1.938888889</v>
      </c>
      <c r="I1317" s="43">
        <f t="shared" si="412"/>
        <v>69.8</v>
      </c>
      <c r="J1317" s="37"/>
      <c r="K1317" s="45">
        <f t="shared" si="413"/>
        <v>0</v>
      </c>
    </row>
    <row r="1318" ht="15.0" customHeight="1">
      <c r="A1318" s="48" t="s">
        <v>1625</v>
      </c>
      <c r="B1318" s="183" t="s">
        <v>1626</v>
      </c>
      <c r="C1318" s="41">
        <v>12.0</v>
      </c>
      <c r="D1318" s="33">
        <v>9.044400897441E12</v>
      </c>
      <c r="E1318" s="42">
        <v>1.85</v>
      </c>
      <c r="F1318" s="35">
        <v>22.2</v>
      </c>
      <c r="G1318" s="36">
        <v>1.0</v>
      </c>
      <c r="H1318" s="43">
        <f t="shared" si="411"/>
        <v>1.933333333</v>
      </c>
      <c r="I1318" s="43">
        <f t="shared" si="412"/>
        <v>23.2</v>
      </c>
      <c r="J1318" s="37"/>
      <c r="K1318" s="45">
        <f t="shared" si="413"/>
        <v>0</v>
      </c>
    </row>
    <row r="1319" ht="15.0" customHeight="1">
      <c r="A1319" s="53" t="s">
        <v>1627</v>
      </c>
      <c r="B1319" s="58" t="s">
        <v>1628</v>
      </c>
      <c r="C1319" s="58">
        <v>12.0</v>
      </c>
      <c r="D1319" s="51" t="s">
        <v>1629</v>
      </c>
      <c r="E1319" s="42">
        <v>1.45</v>
      </c>
      <c r="F1319" s="35">
        <v>17.4</v>
      </c>
      <c r="G1319" s="36">
        <v>1.0</v>
      </c>
      <c r="H1319" s="43">
        <f t="shared" si="411"/>
        <v>1.533333333</v>
      </c>
      <c r="I1319" s="43">
        <f t="shared" si="412"/>
        <v>18.4</v>
      </c>
      <c r="J1319" s="37"/>
      <c r="K1319" s="45">
        <f t="shared" si="413"/>
        <v>0</v>
      </c>
    </row>
    <row r="1320" ht="15.0" customHeight="1">
      <c r="A1320" s="53" t="s">
        <v>1630</v>
      </c>
      <c r="B1320" s="58" t="s">
        <v>1628</v>
      </c>
      <c r="C1320" s="58">
        <v>12.0</v>
      </c>
      <c r="D1320" s="51" t="s">
        <v>1631</v>
      </c>
      <c r="E1320" s="42">
        <v>1.45</v>
      </c>
      <c r="F1320" s="35">
        <v>17.4</v>
      </c>
      <c r="G1320" s="36">
        <v>1.0</v>
      </c>
      <c r="H1320" s="43">
        <f t="shared" si="411"/>
        <v>1.533333333</v>
      </c>
      <c r="I1320" s="43">
        <f t="shared" si="412"/>
        <v>18.4</v>
      </c>
      <c r="J1320" s="37"/>
      <c r="K1320" s="45">
        <f t="shared" si="413"/>
        <v>0</v>
      </c>
    </row>
    <row r="1321" ht="15.0" customHeight="1">
      <c r="A1321" s="49" t="s">
        <v>1632</v>
      </c>
      <c r="B1321" s="140"/>
      <c r="C1321" s="141"/>
      <c r="D1321" s="33"/>
      <c r="E1321" s="34"/>
      <c r="F1321" s="35"/>
      <c r="G1321" s="36"/>
      <c r="H1321" s="43"/>
      <c r="I1321" s="43"/>
      <c r="J1321" s="37"/>
      <c r="K1321" s="45"/>
    </row>
    <row r="1322" ht="15.0" customHeight="1">
      <c r="A1322" s="48" t="s">
        <v>1633</v>
      </c>
      <c r="B1322" s="40" t="s">
        <v>1634</v>
      </c>
      <c r="C1322" s="41">
        <v>22.0</v>
      </c>
      <c r="D1322" s="33">
        <v>3.588400260479E12</v>
      </c>
      <c r="E1322" s="42">
        <v>1.35</v>
      </c>
      <c r="F1322" s="35">
        <v>29.7</v>
      </c>
      <c r="G1322" s="36">
        <v>3.0</v>
      </c>
      <c r="H1322" s="43">
        <f t="shared" ref="H1322:H1334" si="414">I1322/C1322</f>
        <v>1.486363636</v>
      </c>
      <c r="I1322" s="43">
        <f t="shared" ref="I1322:I1334" si="415">F1322+G1322</f>
        <v>32.7</v>
      </c>
      <c r="J1322" s="37"/>
      <c r="K1322" s="45">
        <f t="shared" ref="K1322:K1334" si="416">I1322*J1322</f>
        <v>0</v>
      </c>
    </row>
    <row r="1323" ht="15.0" customHeight="1">
      <c r="A1323" s="48" t="s">
        <v>1635</v>
      </c>
      <c r="B1323" s="40" t="s">
        <v>1175</v>
      </c>
      <c r="C1323" s="41">
        <v>24.0</v>
      </c>
      <c r="D1323" s="33">
        <v>8.424621001215E12</v>
      </c>
      <c r="E1323" s="42">
        <v>1.3</v>
      </c>
      <c r="F1323" s="35">
        <v>31.2</v>
      </c>
      <c r="G1323" s="36">
        <v>2.0</v>
      </c>
      <c r="H1323" s="43">
        <f t="shared" si="414"/>
        <v>1.383333333</v>
      </c>
      <c r="I1323" s="43">
        <f t="shared" si="415"/>
        <v>33.2</v>
      </c>
      <c r="J1323" s="37"/>
      <c r="K1323" s="45">
        <f t="shared" si="416"/>
        <v>0</v>
      </c>
    </row>
    <row r="1324" ht="15.0" customHeight="1">
      <c r="A1324" s="48" t="s">
        <v>1636</v>
      </c>
      <c r="B1324" s="40" t="s">
        <v>1637</v>
      </c>
      <c r="C1324" s="41">
        <v>12.0</v>
      </c>
      <c r="D1324" s="33">
        <v>5.01105301187E12</v>
      </c>
      <c r="E1324" s="42">
        <v>1.45</v>
      </c>
      <c r="F1324" s="35">
        <v>17.4</v>
      </c>
      <c r="G1324" s="36">
        <v>1.0</v>
      </c>
      <c r="H1324" s="43">
        <f t="shared" si="414"/>
        <v>1.533333333</v>
      </c>
      <c r="I1324" s="43">
        <f t="shared" si="415"/>
        <v>18.4</v>
      </c>
      <c r="J1324" s="37"/>
      <c r="K1324" s="45">
        <f t="shared" si="416"/>
        <v>0</v>
      </c>
    </row>
    <row r="1325" ht="15.0" customHeight="1">
      <c r="A1325" s="48" t="s">
        <v>1638</v>
      </c>
      <c r="B1325" s="40">
        <v>1.0</v>
      </c>
      <c r="C1325" s="41">
        <v>200.0</v>
      </c>
      <c r="D1325" s="33">
        <v>8.410525201264E12</v>
      </c>
      <c r="E1325" s="42">
        <v>0.1</v>
      </c>
      <c r="F1325" s="35">
        <v>20.0</v>
      </c>
      <c r="G1325" s="36">
        <v>1.0</v>
      </c>
      <c r="H1325" s="43">
        <f t="shared" si="414"/>
        <v>0.105</v>
      </c>
      <c r="I1325" s="43">
        <f t="shared" si="415"/>
        <v>21</v>
      </c>
      <c r="J1325" s="37"/>
      <c r="K1325" s="45">
        <f t="shared" si="416"/>
        <v>0</v>
      </c>
    </row>
    <row r="1326" ht="15.0" customHeight="1">
      <c r="A1326" s="48" t="s">
        <v>1639</v>
      </c>
      <c r="B1326" s="40" t="s">
        <v>1640</v>
      </c>
      <c r="C1326" s="41">
        <v>120.0</v>
      </c>
      <c r="D1326" s="33">
        <v>6.54954122231E12</v>
      </c>
      <c r="E1326" s="42">
        <v>0.65</v>
      </c>
      <c r="F1326" s="35">
        <v>78.0</v>
      </c>
      <c r="G1326" s="36">
        <v>5.0</v>
      </c>
      <c r="H1326" s="43">
        <f t="shared" si="414"/>
        <v>0.6916666667</v>
      </c>
      <c r="I1326" s="43">
        <f t="shared" si="415"/>
        <v>83</v>
      </c>
      <c r="J1326" s="37"/>
      <c r="K1326" s="45">
        <f t="shared" si="416"/>
        <v>0</v>
      </c>
    </row>
    <row r="1327" ht="15.0" customHeight="1">
      <c r="A1327" s="48" t="s">
        <v>1641</v>
      </c>
      <c r="B1327" s="40" t="s">
        <v>1642</v>
      </c>
      <c r="C1327" s="41">
        <v>213.0</v>
      </c>
      <c r="D1327" s="33">
        <v>8.410031960334E12</v>
      </c>
      <c r="E1327" s="42">
        <v>0.23</v>
      </c>
      <c r="F1327" s="35">
        <v>48.99</v>
      </c>
      <c r="G1327" s="36">
        <v>3.0</v>
      </c>
      <c r="H1327" s="43">
        <f t="shared" si="414"/>
        <v>0.244084507</v>
      </c>
      <c r="I1327" s="43">
        <f t="shared" si="415"/>
        <v>51.99</v>
      </c>
      <c r="J1327" s="37"/>
      <c r="K1327" s="45">
        <f t="shared" si="416"/>
        <v>0</v>
      </c>
    </row>
    <row r="1328" ht="15.0" customHeight="1">
      <c r="A1328" s="48" t="s">
        <v>1643</v>
      </c>
      <c r="B1328" s="40">
        <v>1.0</v>
      </c>
      <c r="C1328" s="41">
        <v>100.0</v>
      </c>
      <c r="D1328" s="33">
        <v>8.410525250101E12</v>
      </c>
      <c r="E1328" s="42">
        <v>0.19</v>
      </c>
      <c r="F1328" s="35">
        <v>19.0</v>
      </c>
      <c r="G1328" s="36">
        <v>2.0</v>
      </c>
      <c r="H1328" s="43">
        <f t="shared" si="414"/>
        <v>0.21</v>
      </c>
      <c r="I1328" s="43">
        <f t="shared" si="415"/>
        <v>21</v>
      </c>
      <c r="J1328" s="37"/>
      <c r="K1328" s="45">
        <f t="shared" si="416"/>
        <v>0</v>
      </c>
    </row>
    <row r="1329" ht="15.0" customHeight="1">
      <c r="A1329" s="48" t="s">
        <v>1644</v>
      </c>
      <c r="B1329" s="40">
        <v>1.0</v>
      </c>
      <c r="C1329" s="41">
        <v>170.0</v>
      </c>
      <c r="D1329" s="33">
        <v>8.410525195358E12</v>
      </c>
      <c r="E1329" s="42">
        <v>0.09</v>
      </c>
      <c r="F1329" s="35">
        <v>15.3</v>
      </c>
      <c r="G1329" s="36">
        <v>2.0</v>
      </c>
      <c r="H1329" s="43">
        <f t="shared" si="414"/>
        <v>0.1017647059</v>
      </c>
      <c r="I1329" s="43">
        <f t="shared" si="415"/>
        <v>17.3</v>
      </c>
      <c r="J1329" s="37"/>
      <c r="K1329" s="45">
        <f t="shared" si="416"/>
        <v>0</v>
      </c>
    </row>
    <row r="1330" ht="15.0" customHeight="1">
      <c r="A1330" s="53" t="s">
        <v>1645</v>
      </c>
      <c r="B1330" s="58" t="s">
        <v>1646</v>
      </c>
      <c r="C1330" s="58">
        <v>24.0</v>
      </c>
      <c r="D1330" s="51" t="s">
        <v>1647</v>
      </c>
      <c r="E1330" s="42">
        <v>0.85</v>
      </c>
      <c r="F1330" s="35">
        <v>20.4</v>
      </c>
      <c r="G1330" s="36">
        <v>1.0</v>
      </c>
      <c r="H1330" s="43">
        <f t="shared" si="414"/>
        <v>0.8916666667</v>
      </c>
      <c r="I1330" s="43">
        <f t="shared" si="415"/>
        <v>21.4</v>
      </c>
      <c r="J1330" s="37"/>
      <c r="K1330" s="45">
        <f t="shared" si="416"/>
        <v>0</v>
      </c>
    </row>
    <row r="1331" ht="15.0" customHeight="1">
      <c r="A1331" s="53" t="s">
        <v>1648</v>
      </c>
      <c r="B1331" s="58" t="s">
        <v>1341</v>
      </c>
      <c r="C1331" s="58">
        <v>12.0</v>
      </c>
      <c r="D1331" s="51" t="s">
        <v>1649</v>
      </c>
      <c r="E1331" s="42">
        <v>1.15</v>
      </c>
      <c r="F1331" s="35">
        <v>13.8</v>
      </c>
      <c r="G1331" s="36">
        <v>1.0</v>
      </c>
      <c r="H1331" s="43">
        <f t="shared" si="414"/>
        <v>1.233333333</v>
      </c>
      <c r="I1331" s="43">
        <f t="shared" si="415"/>
        <v>14.8</v>
      </c>
      <c r="J1331" s="37"/>
      <c r="K1331" s="45">
        <f t="shared" si="416"/>
        <v>0</v>
      </c>
    </row>
    <row r="1332" ht="15.0" customHeight="1">
      <c r="A1332" s="53" t="s">
        <v>1650</v>
      </c>
      <c r="B1332" s="58" t="s">
        <v>1651</v>
      </c>
      <c r="C1332" s="58">
        <v>48.0</v>
      </c>
      <c r="D1332" s="51" t="s">
        <v>1652</v>
      </c>
      <c r="E1332" s="42">
        <v>1.05</v>
      </c>
      <c r="F1332" s="35">
        <v>50.4</v>
      </c>
      <c r="G1332" s="36">
        <v>1.0</v>
      </c>
      <c r="H1332" s="43">
        <f t="shared" si="414"/>
        <v>1.070833333</v>
      </c>
      <c r="I1332" s="43">
        <f t="shared" si="415"/>
        <v>51.4</v>
      </c>
      <c r="J1332" s="37"/>
      <c r="K1332" s="45">
        <f t="shared" si="416"/>
        <v>0</v>
      </c>
    </row>
    <row r="1333" ht="15.0" customHeight="1">
      <c r="A1333" s="53" t="s">
        <v>1653</v>
      </c>
      <c r="B1333" s="58" t="s">
        <v>1418</v>
      </c>
      <c r="C1333" s="58">
        <v>12.0</v>
      </c>
      <c r="D1333" s="51" t="s">
        <v>1654</v>
      </c>
      <c r="E1333" s="42">
        <v>1.05</v>
      </c>
      <c r="F1333" s="35">
        <v>12.6</v>
      </c>
      <c r="G1333" s="36">
        <v>1.0</v>
      </c>
      <c r="H1333" s="43">
        <f t="shared" si="414"/>
        <v>1.133333333</v>
      </c>
      <c r="I1333" s="43">
        <f t="shared" si="415"/>
        <v>13.6</v>
      </c>
      <c r="J1333" s="37"/>
      <c r="K1333" s="45">
        <f t="shared" si="416"/>
        <v>0</v>
      </c>
    </row>
    <row r="1334" ht="15.0" customHeight="1">
      <c r="A1334" s="53" t="s">
        <v>1655</v>
      </c>
      <c r="B1334" s="58" t="s">
        <v>1611</v>
      </c>
      <c r="C1334" s="58">
        <v>12.0</v>
      </c>
      <c r="D1334" s="90" t="s">
        <v>1656</v>
      </c>
      <c r="E1334" s="42">
        <v>1.2</v>
      </c>
      <c r="F1334" s="35">
        <v>14.4</v>
      </c>
      <c r="G1334" s="36">
        <v>1.0</v>
      </c>
      <c r="H1334" s="43">
        <f t="shared" si="414"/>
        <v>1.283333333</v>
      </c>
      <c r="I1334" s="43">
        <f t="shared" si="415"/>
        <v>15.4</v>
      </c>
      <c r="J1334" s="37"/>
      <c r="K1334" s="45">
        <f t="shared" si="416"/>
        <v>0</v>
      </c>
    </row>
    <row r="1335" ht="15.0" customHeight="1">
      <c r="A1335" s="49" t="s">
        <v>1657</v>
      </c>
      <c r="B1335" s="31"/>
      <c r="C1335" s="32"/>
      <c r="D1335" s="33"/>
      <c r="E1335" s="34"/>
      <c r="F1335" s="35"/>
      <c r="G1335" s="36"/>
      <c r="H1335" s="43"/>
      <c r="I1335" s="43"/>
      <c r="J1335" s="37"/>
      <c r="K1335" s="45"/>
    </row>
    <row r="1336" ht="15.0" customHeight="1">
      <c r="A1336" s="48" t="s">
        <v>1658</v>
      </c>
      <c r="B1336" s="40" t="s">
        <v>1637</v>
      </c>
      <c r="C1336" s="41">
        <v>32.0</v>
      </c>
      <c r="D1336" s="33">
        <v>8.410525235573E12</v>
      </c>
      <c r="E1336" s="42">
        <v>0.45</v>
      </c>
      <c r="F1336" s="35">
        <v>14.4</v>
      </c>
      <c r="G1336" s="36">
        <v>2.0</v>
      </c>
      <c r="H1336" s="43">
        <f>I1336/C1336</f>
        <v>0.5125</v>
      </c>
      <c r="I1336" s="43">
        <f>F1336+G1336</f>
        <v>16.4</v>
      </c>
      <c r="J1336" s="37"/>
      <c r="K1336" s="45">
        <f>I1336*J1336</f>
        <v>0</v>
      </c>
    </row>
    <row r="1337" ht="15.0" customHeight="1">
      <c r="A1337" s="49" t="s">
        <v>1659</v>
      </c>
      <c r="B1337" s="140"/>
      <c r="C1337" s="141"/>
      <c r="D1337" s="33"/>
      <c r="E1337" s="34"/>
      <c r="F1337" s="35"/>
      <c r="G1337" s="36"/>
      <c r="H1337" s="43"/>
      <c r="I1337" s="43"/>
      <c r="J1337" s="37"/>
      <c r="K1337" s="45"/>
    </row>
    <row r="1338" ht="15.0" customHeight="1">
      <c r="A1338" s="52" t="s">
        <v>1660</v>
      </c>
      <c r="B1338" s="58" t="s">
        <v>1661</v>
      </c>
      <c r="C1338" s="58">
        <v>20.0</v>
      </c>
      <c r="D1338" s="33">
        <v>4.014400907902E12</v>
      </c>
      <c r="E1338" s="56">
        <v>1.2</v>
      </c>
      <c r="F1338" s="74">
        <f t="shared" ref="F1338:F1342" si="417">E1338*C1338</f>
        <v>24</v>
      </c>
      <c r="G1338" s="36">
        <v>1.0</v>
      </c>
      <c r="H1338" s="43">
        <f t="shared" ref="H1338:H1342" si="418">I1338/C1338</f>
        <v>1.25</v>
      </c>
      <c r="I1338" s="43">
        <f t="shared" ref="I1338:I1342" si="419">F1338+G1338</f>
        <v>25</v>
      </c>
      <c r="J1338" s="37"/>
      <c r="K1338" s="45">
        <f t="shared" ref="K1338:K1342" si="420">I1338*J1338</f>
        <v>0</v>
      </c>
    </row>
    <row r="1339" ht="15.0" customHeight="1">
      <c r="A1339" s="52" t="s">
        <v>1662</v>
      </c>
      <c r="B1339" s="58" t="s">
        <v>1335</v>
      </c>
      <c r="C1339" s="58">
        <v>24.0</v>
      </c>
      <c r="D1339" s="33">
        <v>4.014400900897E12</v>
      </c>
      <c r="E1339" s="56">
        <v>1.6</v>
      </c>
      <c r="F1339" s="74">
        <f t="shared" si="417"/>
        <v>38.4</v>
      </c>
      <c r="G1339" s="36">
        <v>1.0</v>
      </c>
      <c r="H1339" s="43">
        <f t="shared" si="418"/>
        <v>1.641666667</v>
      </c>
      <c r="I1339" s="43">
        <f t="shared" si="419"/>
        <v>39.4</v>
      </c>
      <c r="J1339" s="37"/>
      <c r="K1339" s="45">
        <f t="shared" si="420"/>
        <v>0</v>
      </c>
    </row>
    <row r="1340" ht="15.0" customHeight="1">
      <c r="A1340" s="52" t="s">
        <v>1663</v>
      </c>
      <c r="B1340" s="58" t="s">
        <v>1242</v>
      </c>
      <c r="C1340" s="58">
        <v>12.0</v>
      </c>
      <c r="D1340" s="33">
        <v>4.014400907636E12</v>
      </c>
      <c r="E1340" s="56">
        <v>1.55</v>
      </c>
      <c r="F1340" s="74">
        <f t="shared" si="417"/>
        <v>18.6</v>
      </c>
      <c r="G1340" s="36">
        <v>1.0</v>
      </c>
      <c r="H1340" s="43">
        <f t="shared" si="418"/>
        <v>1.633333333</v>
      </c>
      <c r="I1340" s="43">
        <f t="shared" si="419"/>
        <v>19.6</v>
      </c>
      <c r="J1340" s="37"/>
      <c r="K1340" s="45">
        <f t="shared" si="420"/>
        <v>0</v>
      </c>
    </row>
    <row r="1341" ht="15.0" customHeight="1">
      <c r="A1341" s="52" t="s">
        <v>1664</v>
      </c>
      <c r="B1341" s="58" t="s">
        <v>1371</v>
      </c>
      <c r="C1341" s="58">
        <v>20.0</v>
      </c>
      <c r="D1341" s="33">
        <v>4.014400937152E12</v>
      </c>
      <c r="E1341" s="56">
        <v>1.95</v>
      </c>
      <c r="F1341" s="74">
        <f t="shared" si="417"/>
        <v>39</v>
      </c>
      <c r="G1341" s="36">
        <v>1.0</v>
      </c>
      <c r="H1341" s="43">
        <f t="shared" si="418"/>
        <v>2</v>
      </c>
      <c r="I1341" s="43">
        <f t="shared" si="419"/>
        <v>40</v>
      </c>
      <c r="J1341" s="37"/>
      <c r="K1341" s="45">
        <f t="shared" si="420"/>
        <v>0</v>
      </c>
    </row>
    <row r="1342" ht="15.0" customHeight="1">
      <c r="A1342" s="52" t="s">
        <v>1665</v>
      </c>
      <c r="B1342" s="58" t="s">
        <v>1257</v>
      </c>
      <c r="C1342" s="58">
        <v>12.0</v>
      </c>
      <c r="D1342" s="33">
        <v>4.014400400007E12</v>
      </c>
      <c r="E1342" s="56">
        <v>2.25</v>
      </c>
      <c r="F1342" s="74">
        <f t="shared" si="417"/>
        <v>27</v>
      </c>
      <c r="G1342" s="36">
        <v>1.0</v>
      </c>
      <c r="H1342" s="43">
        <f t="shared" si="418"/>
        <v>2.333333333</v>
      </c>
      <c r="I1342" s="43">
        <f t="shared" si="419"/>
        <v>28</v>
      </c>
      <c r="J1342" s="37"/>
      <c r="K1342" s="45">
        <f t="shared" si="420"/>
        <v>0</v>
      </c>
    </row>
    <row r="1343" ht="15.0" customHeight="1">
      <c r="A1343" s="49" t="s">
        <v>1666</v>
      </c>
      <c r="B1343" s="31"/>
      <c r="C1343" s="32"/>
      <c r="D1343" s="33"/>
      <c r="E1343" s="34"/>
      <c r="F1343" s="35"/>
      <c r="G1343" s="36"/>
      <c r="H1343" s="43"/>
      <c r="I1343" s="43"/>
      <c r="J1343" s="37"/>
      <c r="K1343" s="45"/>
    </row>
    <row r="1344" ht="15.0" customHeight="1">
      <c r="A1344" s="48" t="s">
        <v>1667</v>
      </c>
      <c r="B1344" s="40" t="s">
        <v>1175</v>
      </c>
      <c r="C1344" s="41">
        <v>12.0</v>
      </c>
      <c r="D1344" s="33">
        <v>3.58840026293E12</v>
      </c>
      <c r="E1344" s="42">
        <v>1.45</v>
      </c>
      <c r="F1344" s="35">
        <v>17.4</v>
      </c>
      <c r="G1344" s="36">
        <v>1.0</v>
      </c>
      <c r="H1344" s="43">
        <f t="shared" ref="H1344:H1346" si="421">I1344/C1344</f>
        <v>1.533333333</v>
      </c>
      <c r="I1344" s="43">
        <f t="shared" ref="I1344:I1346" si="422">F1344+G1344</f>
        <v>18.4</v>
      </c>
      <c r="J1344" s="37"/>
      <c r="K1344" s="45">
        <f t="shared" ref="K1344:K1346" si="423">I1344*J1344</f>
        <v>0</v>
      </c>
    </row>
    <row r="1345" ht="15.0" customHeight="1">
      <c r="A1345" s="48" t="s">
        <v>1668</v>
      </c>
      <c r="B1345" s="40" t="s">
        <v>1431</v>
      </c>
      <c r="C1345" s="41">
        <v>24.0</v>
      </c>
      <c r="D1345" s="33">
        <v>3.588400264309E12</v>
      </c>
      <c r="E1345" s="42">
        <v>2.15</v>
      </c>
      <c r="F1345" s="35">
        <v>51.6</v>
      </c>
      <c r="G1345" s="36">
        <v>1.0</v>
      </c>
      <c r="H1345" s="43">
        <f t="shared" si="421"/>
        <v>2.191666667</v>
      </c>
      <c r="I1345" s="43">
        <f t="shared" si="422"/>
        <v>52.6</v>
      </c>
      <c r="J1345" s="37"/>
      <c r="K1345" s="45">
        <f t="shared" si="423"/>
        <v>0</v>
      </c>
    </row>
    <row r="1346" ht="15.0" customHeight="1">
      <c r="A1346" s="52" t="s">
        <v>1669</v>
      </c>
      <c r="B1346" s="58" t="s">
        <v>1276</v>
      </c>
      <c r="C1346" s="58">
        <v>12.0</v>
      </c>
      <c r="D1346" s="51" t="s">
        <v>1670</v>
      </c>
      <c r="E1346" s="56">
        <v>1.95</v>
      </c>
      <c r="F1346" s="74">
        <v>23.4</v>
      </c>
      <c r="G1346" s="36">
        <v>1.0</v>
      </c>
      <c r="H1346" s="43">
        <f t="shared" si="421"/>
        <v>2.033333333</v>
      </c>
      <c r="I1346" s="43">
        <f t="shared" si="422"/>
        <v>24.4</v>
      </c>
      <c r="J1346" s="184"/>
      <c r="K1346" s="45">
        <f t="shared" si="423"/>
        <v>0</v>
      </c>
    </row>
    <row r="1347" ht="15.0" customHeight="1">
      <c r="A1347" s="49" t="s">
        <v>1671</v>
      </c>
      <c r="B1347" s="140"/>
      <c r="C1347" s="141"/>
      <c r="D1347" s="33"/>
      <c r="E1347" s="34"/>
      <c r="F1347" s="35"/>
      <c r="G1347" s="36"/>
      <c r="H1347" s="43"/>
      <c r="I1347" s="43"/>
      <c r="J1347" s="37"/>
      <c r="K1347" s="45"/>
    </row>
    <row r="1348" ht="15.0" customHeight="1">
      <c r="A1348" s="48" t="s">
        <v>1672</v>
      </c>
      <c r="B1348" s="40" t="s">
        <v>1418</v>
      </c>
      <c r="C1348" s="41">
        <v>12.0</v>
      </c>
      <c r="D1348" s="33">
        <v>3.588400262923E12</v>
      </c>
      <c r="E1348" s="42">
        <v>1.4</v>
      </c>
      <c r="F1348" s="35">
        <v>16.8</v>
      </c>
      <c r="G1348" s="36">
        <v>1.0</v>
      </c>
      <c r="H1348" s="43">
        <f t="shared" ref="H1348:H1350" si="424">I1348/C1348</f>
        <v>1.483333333</v>
      </c>
      <c r="I1348" s="43">
        <f t="shared" ref="I1348:I1350" si="425">F1348+G1348</f>
        <v>17.8</v>
      </c>
      <c r="J1348" s="37"/>
      <c r="K1348" s="45">
        <f t="shared" ref="K1348:K1350" si="426">I1348*J1348</f>
        <v>0</v>
      </c>
    </row>
    <row r="1349" ht="15.0" customHeight="1">
      <c r="A1349" s="48" t="s">
        <v>1673</v>
      </c>
      <c r="B1349" s="40" t="s">
        <v>1674</v>
      </c>
      <c r="C1349" s="41">
        <v>24.0</v>
      </c>
      <c r="D1349" s="33">
        <v>8.420886208109E12</v>
      </c>
      <c r="E1349" s="42">
        <v>1.95</v>
      </c>
      <c r="F1349" s="35">
        <v>46.8</v>
      </c>
      <c r="G1349" s="36">
        <v>1.0</v>
      </c>
      <c r="H1349" s="43">
        <f t="shared" si="424"/>
        <v>1.991666667</v>
      </c>
      <c r="I1349" s="43">
        <f t="shared" si="425"/>
        <v>47.8</v>
      </c>
      <c r="J1349" s="37"/>
      <c r="K1349" s="45">
        <f t="shared" si="426"/>
        <v>0</v>
      </c>
    </row>
    <row r="1350" ht="15.0" customHeight="1">
      <c r="A1350" s="53" t="s">
        <v>1675</v>
      </c>
      <c r="B1350" s="58" t="s">
        <v>1418</v>
      </c>
      <c r="C1350" s="58">
        <v>12.0</v>
      </c>
      <c r="D1350" s="51" t="s">
        <v>1676</v>
      </c>
      <c r="E1350" s="42">
        <v>1.55</v>
      </c>
      <c r="F1350" s="35">
        <v>18.6</v>
      </c>
      <c r="G1350" s="36">
        <v>1.0</v>
      </c>
      <c r="H1350" s="43">
        <f t="shared" si="424"/>
        <v>1.633333333</v>
      </c>
      <c r="I1350" s="43">
        <f t="shared" si="425"/>
        <v>19.6</v>
      </c>
      <c r="J1350" s="37"/>
      <c r="K1350" s="45">
        <f t="shared" si="426"/>
        <v>0</v>
      </c>
    </row>
    <row r="1351" ht="15.0" customHeight="1">
      <c r="A1351" s="185" t="s">
        <v>1677</v>
      </c>
      <c r="B1351" s="186"/>
      <c r="C1351" s="187"/>
      <c r="D1351" s="188"/>
      <c r="E1351" s="189"/>
      <c r="F1351" s="190"/>
      <c r="G1351" s="191"/>
      <c r="H1351" s="192"/>
      <c r="I1351" s="192"/>
      <c r="J1351" s="193"/>
      <c r="K1351" s="194"/>
    </row>
    <row r="1352" ht="15.0" customHeight="1">
      <c r="A1352" s="49" t="s">
        <v>1678</v>
      </c>
      <c r="B1352" s="31"/>
      <c r="C1352" s="32"/>
      <c r="D1352" s="33"/>
      <c r="E1352" s="34"/>
      <c r="F1352" s="35"/>
      <c r="G1352" s="36"/>
      <c r="H1352" s="43"/>
      <c r="I1352" s="43"/>
      <c r="J1352" s="37"/>
      <c r="K1352" s="45"/>
    </row>
    <row r="1353" ht="15.0" customHeight="1">
      <c r="A1353" s="48" t="s">
        <v>1679</v>
      </c>
      <c r="B1353" s="31"/>
      <c r="C1353" s="41">
        <v>50.0</v>
      </c>
      <c r="D1353" s="33" t="s">
        <v>1680</v>
      </c>
      <c r="E1353" s="42">
        <v>0.59</v>
      </c>
      <c r="F1353" s="35">
        <v>29.5</v>
      </c>
      <c r="G1353" s="41">
        <v>15.0</v>
      </c>
      <c r="H1353" s="195">
        <f t="shared" ref="H1353:H1371" si="427">I1353/C1353</f>
        <v>0.89</v>
      </c>
      <c r="I1353" s="74">
        <f t="shared" ref="I1353:I1371" si="428">F1353+G1353</f>
        <v>44.5</v>
      </c>
      <c r="J1353" s="196"/>
      <c r="K1353" s="45">
        <f t="shared" ref="K1353:K1371" si="429">I1353*J1353</f>
        <v>0</v>
      </c>
    </row>
    <row r="1354" ht="15.0" customHeight="1">
      <c r="A1354" s="48" t="s">
        <v>1681</v>
      </c>
      <c r="B1354" s="31"/>
      <c r="C1354" s="41">
        <v>32.0</v>
      </c>
      <c r="D1354" s="33" t="s">
        <v>1682</v>
      </c>
      <c r="E1354" s="42">
        <v>0.99</v>
      </c>
      <c r="F1354" s="35">
        <v>31.68</v>
      </c>
      <c r="G1354" s="41">
        <v>15.0</v>
      </c>
      <c r="H1354" s="195">
        <f t="shared" si="427"/>
        <v>1.45875</v>
      </c>
      <c r="I1354" s="74">
        <f t="shared" si="428"/>
        <v>46.68</v>
      </c>
      <c r="J1354" s="196"/>
      <c r="K1354" s="45">
        <f t="shared" si="429"/>
        <v>0</v>
      </c>
    </row>
    <row r="1355" ht="15.0" customHeight="1">
      <c r="A1355" s="48" t="s">
        <v>1683</v>
      </c>
      <c r="B1355" s="31"/>
      <c r="C1355" s="41">
        <v>50.0</v>
      </c>
      <c r="D1355" s="33" t="s">
        <v>1684</v>
      </c>
      <c r="E1355" s="42">
        <v>0.59</v>
      </c>
      <c r="F1355" s="35">
        <v>29.5</v>
      </c>
      <c r="G1355" s="41">
        <v>15.0</v>
      </c>
      <c r="H1355" s="195">
        <f t="shared" si="427"/>
        <v>0.89</v>
      </c>
      <c r="I1355" s="74">
        <f t="shared" si="428"/>
        <v>44.5</v>
      </c>
      <c r="J1355" s="196"/>
      <c r="K1355" s="45">
        <f t="shared" si="429"/>
        <v>0</v>
      </c>
    </row>
    <row r="1356" ht="15.0" customHeight="1">
      <c r="A1356" s="48" t="s">
        <v>1685</v>
      </c>
      <c r="B1356" s="31"/>
      <c r="C1356" s="41">
        <v>50.0</v>
      </c>
      <c r="D1356" s="33" t="s">
        <v>1686</v>
      </c>
      <c r="E1356" s="42">
        <v>0.55</v>
      </c>
      <c r="F1356" s="35">
        <v>27.5</v>
      </c>
      <c r="G1356" s="41">
        <v>15.0</v>
      </c>
      <c r="H1356" s="195">
        <f t="shared" si="427"/>
        <v>0.85</v>
      </c>
      <c r="I1356" s="74">
        <f t="shared" si="428"/>
        <v>42.5</v>
      </c>
      <c r="J1356" s="196"/>
      <c r="K1356" s="45">
        <f t="shared" si="429"/>
        <v>0</v>
      </c>
    </row>
    <row r="1357" ht="15.0" customHeight="1">
      <c r="A1357" s="48" t="s">
        <v>1687</v>
      </c>
      <c r="B1357" s="31"/>
      <c r="C1357" s="41">
        <v>50.0</v>
      </c>
      <c r="D1357" s="33" t="s">
        <v>1688</v>
      </c>
      <c r="E1357" s="42">
        <v>0.55</v>
      </c>
      <c r="F1357" s="35">
        <v>27.5</v>
      </c>
      <c r="G1357" s="41">
        <v>15.0</v>
      </c>
      <c r="H1357" s="195">
        <f t="shared" si="427"/>
        <v>0.85</v>
      </c>
      <c r="I1357" s="74">
        <f t="shared" si="428"/>
        <v>42.5</v>
      </c>
      <c r="J1357" s="196"/>
      <c r="K1357" s="45">
        <f t="shared" si="429"/>
        <v>0</v>
      </c>
    </row>
    <row r="1358" ht="15.0" customHeight="1">
      <c r="A1358" s="48" t="s">
        <v>1689</v>
      </c>
      <c r="B1358" s="31"/>
      <c r="C1358" s="41">
        <v>50.0</v>
      </c>
      <c r="D1358" s="33" t="s">
        <v>1690</v>
      </c>
      <c r="E1358" s="42">
        <v>0.95</v>
      </c>
      <c r="F1358" s="35">
        <v>47.5</v>
      </c>
      <c r="G1358" s="41">
        <v>10.0</v>
      </c>
      <c r="H1358" s="195">
        <f t="shared" si="427"/>
        <v>1.15</v>
      </c>
      <c r="I1358" s="74">
        <f t="shared" si="428"/>
        <v>57.5</v>
      </c>
      <c r="J1358" s="196"/>
      <c r="K1358" s="45">
        <f t="shared" si="429"/>
        <v>0</v>
      </c>
    </row>
    <row r="1359" ht="15.0" customHeight="1">
      <c r="A1359" s="48" t="s">
        <v>1691</v>
      </c>
      <c r="B1359" s="31"/>
      <c r="C1359" s="41">
        <v>25.0</v>
      </c>
      <c r="D1359" s="33" t="s">
        <v>1692</v>
      </c>
      <c r="E1359" s="42">
        <v>0.5</v>
      </c>
      <c r="F1359" s="35">
        <v>12.5</v>
      </c>
      <c r="G1359" s="41">
        <v>5.0</v>
      </c>
      <c r="H1359" s="195">
        <f t="shared" si="427"/>
        <v>0.7</v>
      </c>
      <c r="I1359" s="74">
        <f t="shared" si="428"/>
        <v>17.5</v>
      </c>
      <c r="J1359" s="196"/>
      <c r="K1359" s="45">
        <f t="shared" si="429"/>
        <v>0</v>
      </c>
    </row>
    <row r="1360" ht="15.0" customHeight="1">
      <c r="A1360" s="48" t="s">
        <v>1693</v>
      </c>
      <c r="B1360" s="31"/>
      <c r="C1360" s="41">
        <v>100.0</v>
      </c>
      <c r="D1360" s="33" t="s">
        <v>1694</v>
      </c>
      <c r="E1360" s="42">
        <v>0.95</v>
      </c>
      <c r="F1360" s="35">
        <v>95.0</v>
      </c>
      <c r="G1360" s="41">
        <v>20.0</v>
      </c>
      <c r="H1360" s="195">
        <f t="shared" si="427"/>
        <v>1.15</v>
      </c>
      <c r="I1360" s="74">
        <f t="shared" si="428"/>
        <v>115</v>
      </c>
      <c r="J1360" s="196"/>
      <c r="K1360" s="45">
        <f t="shared" si="429"/>
        <v>0</v>
      </c>
    </row>
    <row r="1361" ht="15.0" customHeight="1">
      <c r="A1361" s="48" t="s">
        <v>1695</v>
      </c>
      <c r="B1361" s="31"/>
      <c r="C1361" s="41">
        <v>100.0</v>
      </c>
      <c r="D1361" s="33" t="s">
        <v>1696</v>
      </c>
      <c r="E1361" s="42">
        <v>0.85</v>
      </c>
      <c r="F1361" s="35">
        <v>85.0</v>
      </c>
      <c r="G1361" s="41">
        <v>20.0</v>
      </c>
      <c r="H1361" s="195">
        <f t="shared" si="427"/>
        <v>1.05</v>
      </c>
      <c r="I1361" s="74">
        <f t="shared" si="428"/>
        <v>105</v>
      </c>
      <c r="J1361" s="196"/>
      <c r="K1361" s="45">
        <f t="shared" si="429"/>
        <v>0</v>
      </c>
    </row>
    <row r="1362" ht="15.0" customHeight="1">
      <c r="A1362" s="48" t="s">
        <v>1697</v>
      </c>
      <c r="B1362" s="31"/>
      <c r="C1362" s="41">
        <v>40.0</v>
      </c>
      <c r="D1362" s="33" t="s">
        <v>1698</v>
      </c>
      <c r="E1362" s="42">
        <v>1.85</v>
      </c>
      <c r="F1362" s="35">
        <v>74.0</v>
      </c>
      <c r="G1362" s="41">
        <v>20.0</v>
      </c>
      <c r="H1362" s="195">
        <f t="shared" si="427"/>
        <v>2.35</v>
      </c>
      <c r="I1362" s="74">
        <f t="shared" si="428"/>
        <v>94</v>
      </c>
      <c r="J1362" s="196"/>
      <c r="K1362" s="45">
        <f t="shared" si="429"/>
        <v>0</v>
      </c>
    </row>
    <row r="1363" ht="15.0" customHeight="1">
      <c r="A1363" s="48" t="s">
        <v>1699</v>
      </c>
      <c r="B1363" s="31"/>
      <c r="C1363" s="41">
        <v>40.0</v>
      </c>
      <c r="D1363" s="33" t="s">
        <v>1700</v>
      </c>
      <c r="E1363" s="42">
        <v>1.65</v>
      </c>
      <c r="F1363" s="35">
        <v>66.0</v>
      </c>
      <c r="G1363" s="41">
        <v>20.0</v>
      </c>
      <c r="H1363" s="195">
        <f t="shared" si="427"/>
        <v>2.15</v>
      </c>
      <c r="I1363" s="74">
        <f t="shared" si="428"/>
        <v>86</v>
      </c>
      <c r="J1363" s="196"/>
      <c r="K1363" s="45">
        <f t="shared" si="429"/>
        <v>0</v>
      </c>
    </row>
    <row r="1364" ht="15.0" customHeight="1">
      <c r="A1364" s="48" t="s">
        <v>1701</v>
      </c>
      <c r="B1364" s="31"/>
      <c r="C1364" s="41">
        <v>24.0</v>
      </c>
      <c r="D1364" s="33" t="s">
        <v>1702</v>
      </c>
      <c r="E1364" s="42">
        <v>1.15</v>
      </c>
      <c r="F1364" s="35">
        <v>27.6</v>
      </c>
      <c r="G1364" s="41">
        <v>10.0</v>
      </c>
      <c r="H1364" s="195">
        <f t="shared" si="427"/>
        <v>1.566666667</v>
      </c>
      <c r="I1364" s="74">
        <f t="shared" si="428"/>
        <v>37.6</v>
      </c>
      <c r="J1364" s="196"/>
      <c r="K1364" s="45">
        <f t="shared" si="429"/>
        <v>0</v>
      </c>
    </row>
    <row r="1365" ht="15.0" customHeight="1">
      <c r="A1365" s="48" t="s">
        <v>1703</v>
      </c>
      <c r="B1365" s="31"/>
      <c r="C1365" s="41">
        <v>50.0</v>
      </c>
      <c r="D1365" s="33" t="s">
        <v>1704</v>
      </c>
      <c r="E1365" s="42">
        <v>0.59</v>
      </c>
      <c r="F1365" s="35">
        <v>29.5</v>
      </c>
      <c r="G1365" s="41">
        <v>15.0</v>
      </c>
      <c r="H1365" s="195">
        <f t="shared" si="427"/>
        <v>0.89</v>
      </c>
      <c r="I1365" s="74">
        <f t="shared" si="428"/>
        <v>44.5</v>
      </c>
      <c r="J1365" s="196"/>
      <c r="K1365" s="45">
        <f t="shared" si="429"/>
        <v>0</v>
      </c>
    </row>
    <row r="1366" ht="15.0" customHeight="1">
      <c r="A1366" s="39" t="s">
        <v>1705</v>
      </c>
      <c r="B1366" s="31"/>
      <c r="C1366" s="41">
        <v>32.0</v>
      </c>
      <c r="D1366" s="33" t="s">
        <v>1706</v>
      </c>
      <c r="E1366" s="42">
        <v>0.99</v>
      </c>
      <c r="F1366" s="35">
        <v>31.68</v>
      </c>
      <c r="G1366" s="41">
        <v>10.0</v>
      </c>
      <c r="H1366" s="195">
        <f t="shared" si="427"/>
        <v>1.3025</v>
      </c>
      <c r="I1366" s="74">
        <f t="shared" si="428"/>
        <v>41.68</v>
      </c>
      <c r="J1366" s="196"/>
      <c r="K1366" s="45">
        <f t="shared" si="429"/>
        <v>0</v>
      </c>
    </row>
    <row r="1367" ht="15.0" customHeight="1">
      <c r="A1367" s="39" t="s">
        <v>1707</v>
      </c>
      <c r="B1367" s="31"/>
      <c r="C1367" s="41">
        <v>16.0</v>
      </c>
      <c r="D1367" s="33" t="s">
        <v>1708</v>
      </c>
      <c r="E1367" s="42">
        <v>1.65</v>
      </c>
      <c r="F1367" s="35">
        <v>26.4</v>
      </c>
      <c r="G1367" s="41">
        <v>5.0</v>
      </c>
      <c r="H1367" s="195">
        <f t="shared" si="427"/>
        <v>1.9625</v>
      </c>
      <c r="I1367" s="74">
        <f t="shared" si="428"/>
        <v>31.4</v>
      </c>
      <c r="J1367" s="196"/>
      <c r="K1367" s="45">
        <f t="shared" si="429"/>
        <v>0</v>
      </c>
    </row>
    <row r="1368" ht="15.0" customHeight="1">
      <c r="A1368" s="39" t="s">
        <v>1709</v>
      </c>
      <c r="B1368" s="31"/>
      <c r="C1368" s="41">
        <v>50.0</v>
      </c>
      <c r="D1368" s="33" t="s">
        <v>1710</v>
      </c>
      <c r="E1368" s="42">
        <v>0.55</v>
      </c>
      <c r="F1368" s="35">
        <v>27.5</v>
      </c>
      <c r="G1368" s="41">
        <v>15.0</v>
      </c>
      <c r="H1368" s="195">
        <f t="shared" si="427"/>
        <v>0.85</v>
      </c>
      <c r="I1368" s="74">
        <f t="shared" si="428"/>
        <v>42.5</v>
      </c>
      <c r="J1368" s="196"/>
      <c r="K1368" s="45">
        <f t="shared" si="429"/>
        <v>0</v>
      </c>
    </row>
    <row r="1369" ht="15.0" customHeight="1">
      <c r="A1369" s="39" t="s">
        <v>1711</v>
      </c>
      <c r="B1369" s="31"/>
      <c r="C1369" s="41">
        <v>50.0</v>
      </c>
      <c r="D1369" s="33" t="s">
        <v>1712</v>
      </c>
      <c r="E1369" s="42">
        <v>0.59</v>
      </c>
      <c r="F1369" s="35">
        <v>29.5</v>
      </c>
      <c r="G1369" s="41">
        <v>15.0</v>
      </c>
      <c r="H1369" s="195">
        <f t="shared" si="427"/>
        <v>0.89</v>
      </c>
      <c r="I1369" s="74">
        <f t="shared" si="428"/>
        <v>44.5</v>
      </c>
      <c r="J1369" s="196"/>
      <c r="K1369" s="45">
        <f t="shared" si="429"/>
        <v>0</v>
      </c>
    </row>
    <row r="1370" ht="15.0" customHeight="1">
      <c r="A1370" s="39" t="s">
        <v>1713</v>
      </c>
      <c r="B1370" s="31"/>
      <c r="C1370" s="41">
        <v>50.0</v>
      </c>
      <c r="D1370" s="33" t="s">
        <v>1714</v>
      </c>
      <c r="E1370" s="42">
        <v>0.55</v>
      </c>
      <c r="F1370" s="35">
        <v>27.5</v>
      </c>
      <c r="G1370" s="41">
        <v>15.0</v>
      </c>
      <c r="H1370" s="195">
        <f t="shared" si="427"/>
        <v>0.85</v>
      </c>
      <c r="I1370" s="74">
        <f t="shared" si="428"/>
        <v>42.5</v>
      </c>
      <c r="J1370" s="196"/>
      <c r="K1370" s="45">
        <f t="shared" si="429"/>
        <v>0</v>
      </c>
    </row>
    <row r="1371" ht="15.0" customHeight="1">
      <c r="A1371" s="39" t="s">
        <v>1715</v>
      </c>
      <c r="B1371" s="31"/>
      <c r="C1371" s="41">
        <v>1.0</v>
      </c>
      <c r="D1371" s="33" t="s">
        <v>1716</v>
      </c>
      <c r="E1371" s="42">
        <v>4.5</v>
      </c>
      <c r="F1371" s="35">
        <v>4.5</v>
      </c>
      <c r="G1371" s="41">
        <v>1.0</v>
      </c>
      <c r="H1371" s="195">
        <f t="shared" si="427"/>
        <v>5.5</v>
      </c>
      <c r="I1371" s="74">
        <f t="shared" si="428"/>
        <v>5.5</v>
      </c>
      <c r="J1371" s="196"/>
      <c r="K1371" s="45">
        <f t="shared" si="429"/>
        <v>0</v>
      </c>
    </row>
    <row r="1372" ht="15.0" customHeight="1">
      <c r="A1372" s="30" t="s">
        <v>1717</v>
      </c>
      <c r="B1372" s="31"/>
      <c r="C1372" s="32"/>
      <c r="D1372" s="33"/>
      <c r="E1372" s="34"/>
      <c r="F1372" s="35"/>
      <c r="G1372" s="43"/>
      <c r="H1372" s="36"/>
      <c r="I1372" s="43"/>
      <c r="J1372" s="37"/>
      <c r="K1372" s="45"/>
    </row>
    <row r="1373" ht="15.0" customHeight="1">
      <c r="A1373" s="39" t="s">
        <v>1718</v>
      </c>
      <c r="B1373" s="31"/>
      <c r="C1373" s="41">
        <v>50.0</v>
      </c>
      <c r="D1373" s="33" t="s">
        <v>1719</v>
      </c>
      <c r="E1373" s="42">
        <v>0.42</v>
      </c>
      <c r="F1373" s="35">
        <v>21.0</v>
      </c>
      <c r="G1373" s="41">
        <v>5.0</v>
      </c>
      <c r="H1373" s="195">
        <f t="shared" ref="H1373:H1376" si="430">I1373/C1373</f>
        <v>0.52</v>
      </c>
      <c r="I1373" s="74">
        <f t="shared" ref="I1373:I1376" si="431">F1373+G1373</f>
        <v>26</v>
      </c>
      <c r="J1373" s="37"/>
      <c r="K1373" s="45">
        <f t="shared" ref="K1373:K1376" si="432">I1373*J1373</f>
        <v>0</v>
      </c>
    </row>
    <row r="1374" ht="15.0" customHeight="1">
      <c r="A1374" s="39" t="s">
        <v>1720</v>
      </c>
      <c r="B1374" s="31"/>
      <c r="C1374" s="41">
        <v>25.0</v>
      </c>
      <c r="D1374" s="33" t="s">
        <v>1721</v>
      </c>
      <c r="E1374" s="42">
        <v>0.55</v>
      </c>
      <c r="F1374" s="35">
        <v>13.75</v>
      </c>
      <c r="G1374" s="41">
        <v>5.0</v>
      </c>
      <c r="H1374" s="195">
        <f t="shared" si="430"/>
        <v>0.75</v>
      </c>
      <c r="I1374" s="74">
        <f t="shared" si="431"/>
        <v>18.75</v>
      </c>
      <c r="J1374" s="37"/>
      <c r="K1374" s="45">
        <f t="shared" si="432"/>
        <v>0</v>
      </c>
    </row>
    <row r="1375" ht="15.0" customHeight="1">
      <c r="A1375" s="39" t="s">
        <v>1722</v>
      </c>
      <c r="B1375" s="31"/>
      <c r="C1375" s="41">
        <v>14.0</v>
      </c>
      <c r="D1375" s="33" t="s">
        <v>1723</v>
      </c>
      <c r="E1375" s="42">
        <v>1.4</v>
      </c>
      <c r="F1375" s="35">
        <v>19.6</v>
      </c>
      <c r="G1375" s="41">
        <v>5.0</v>
      </c>
      <c r="H1375" s="195">
        <f t="shared" si="430"/>
        <v>1.757142857</v>
      </c>
      <c r="I1375" s="74">
        <f t="shared" si="431"/>
        <v>24.6</v>
      </c>
      <c r="J1375" s="37"/>
      <c r="K1375" s="45">
        <f t="shared" si="432"/>
        <v>0</v>
      </c>
    </row>
    <row r="1376" ht="15.0" customHeight="1">
      <c r="A1376" s="39" t="s">
        <v>1724</v>
      </c>
      <c r="B1376" s="31"/>
      <c r="C1376" s="41">
        <v>32.0</v>
      </c>
      <c r="D1376" s="33" t="s">
        <v>1725</v>
      </c>
      <c r="E1376" s="42">
        <v>2.75</v>
      </c>
      <c r="F1376" s="35">
        <v>88.0</v>
      </c>
      <c r="G1376" s="41">
        <v>20.0</v>
      </c>
      <c r="H1376" s="195">
        <f t="shared" si="430"/>
        <v>3.375</v>
      </c>
      <c r="I1376" s="74">
        <f t="shared" si="431"/>
        <v>108</v>
      </c>
      <c r="J1376" s="37"/>
      <c r="K1376" s="45">
        <f t="shared" si="432"/>
        <v>0</v>
      </c>
    </row>
    <row r="1377" ht="15.0" customHeight="1">
      <c r="A1377" s="39"/>
      <c r="B1377" s="31"/>
      <c r="C1377" s="32"/>
      <c r="D1377" s="33"/>
      <c r="E1377" s="34"/>
      <c r="F1377" s="35"/>
      <c r="G1377" s="36"/>
      <c r="H1377" s="43"/>
      <c r="I1377" s="43"/>
      <c r="J1377" s="37"/>
      <c r="K1377" s="45"/>
    </row>
    <row r="1378" ht="15.0" customHeight="1">
      <c r="A1378" s="30" t="s">
        <v>1726</v>
      </c>
      <c r="B1378" s="31"/>
      <c r="C1378" s="32"/>
      <c r="D1378" s="33"/>
      <c r="E1378" s="34"/>
      <c r="F1378" s="35"/>
      <c r="G1378" s="36"/>
      <c r="H1378" s="43"/>
      <c r="I1378" s="43"/>
      <c r="J1378" s="37"/>
      <c r="K1378" s="45"/>
    </row>
    <row r="1379" ht="15.0" customHeight="1">
      <c r="A1379" s="39" t="s">
        <v>1727</v>
      </c>
      <c r="B1379" s="31"/>
      <c r="C1379" s="41">
        <v>20.0</v>
      </c>
      <c r="D1379" s="33">
        <v>5.412128571051E12</v>
      </c>
      <c r="E1379" s="42">
        <v>1.45</v>
      </c>
      <c r="F1379" s="35">
        <v>29.0</v>
      </c>
      <c r="G1379" s="36">
        <v>5.0</v>
      </c>
      <c r="H1379" s="43">
        <f t="shared" ref="H1379:H1382" si="433">I1379/C1379</f>
        <v>1.7</v>
      </c>
      <c r="I1379" s="43">
        <f t="shared" ref="I1379:I1382" si="434">F1379+G1379</f>
        <v>34</v>
      </c>
      <c r="J1379" s="37"/>
      <c r="K1379" s="45">
        <f t="shared" ref="K1379:K1382" si="435">I1379*J1379</f>
        <v>0</v>
      </c>
    </row>
    <row r="1380" ht="15.0" customHeight="1">
      <c r="A1380" s="39" t="s">
        <v>1728</v>
      </c>
      <c r="B1380" s="31"/>
      <c r="C1380" s="41">
        <v>40.0</v>
      </c>
      <c r="D1380" s="33">
        <v>5.412128155107E12</v>
      </c>
      <c r="E1380" s="42">
        <v>1.45</v>
      </c>
      <c r="F1380" s="35">
        <v>58.0</v>
      </c>
      <c r="G1380" s="36">
        <v>10.0</v>
      </c>
      <c r="H1380" s="43">
        <f t="shared" si="433"/>
        <v>1.7</v>
      </c>
      <c r="I1380" s="43">
        <f t="shared" si="434"/>
        <v>68</v>
      </c>
      <c r="J1380" s="37"/>
      <c r="K1380" s="45">
        <f t="shared" si="435"/>
        <v>0</v>
      </c>
    </row>
    <row r="1381" ht="15.0" customHeight="1">
      <c r="A1381" s="39" t="s">
        <v>1729</v>
      </c>
      <c r="B1381" s="31"/>
      <c r="C1381" s="41">
        <v>20.0</v>
      </c>
      <c r="D1381" s="33">
        <v>5.412128750005E12</v>
      </c>
      <c r="E1381" s="42">
        <v>2.75</v>
      </c>
      <c r="F1381" s="35">
        <v>55.0</v>
      </c>
      <c r="G1381" s="36">
        <v>10.0</v>
      </c>
      <c r="H1381" s="43">
        <f t="shared" si="433"/>
        <v>3.25</v>
      </c>
      <c r="I1381" s="43">
        <f t="shared" si="434"/>
        <v>65</v>
      </c>
      <c r="J1381" s="37"/>
      <c r="K1381" s="45">
        <f t="shared" si="435"/>
        <v>0</v>
      </c>
    </row>
    <row r="1382" ht="15.0" customHeight="1">
      <c r="A1382" s="39" t="s">
        <v>1730</v>
      </c>
      <c r="B1382" s="31"/>
      <c r="C1382" s="41">
        <v>10.0</v>
      </c>
      <c r="D1382" s="33">
        <v>5.412128706002E12</v>
      </c>
      <c r="E1382" s="42">
        <v>5.25</v>
      </c>
      <c r="F1382" s="35">
        <v>52.5</v>
      </c>
      <c r="G1382" s="36">
        <v>10.0</v>
      </c>
      <c r="H1382" s="43">
        <f t="shared" si="433"/>
        <v>6.25</v>
      </c>
      <c r="I1382" s="43">
        <f t="shared" si="434"/>
        <v>62.5</v>
      </c>
      <c r="J1382" s="37"/>
      <c r="K1382" s="45">
        <f t="shared" si="435"/>
        <v>0</v>
      </c>
    </row>
    <row r="1383" ht="15.0" customHeight="1">
      <c r="A1383" s="30" t="s">
        <v>1731</v>
      </c>
      <c r="B1383" s="31"/>
      <c r="C1383" s="32"/>
      <c r="D1383" s="33"/>
      <c r="E1383" s="34"/>
      <c r="F1383" s="35"/>
      <c r="G1383" s="36"/>
      <c r="H1383" s="43"/>
      <c r="I1383" s="43"/>
      <c r="J1383" s="37"/>
      <c r="K1383" s="45"/>
    </row>
    <row r="1384" ht="15.0" customHeight="1">
      <c r="A1384" s="39" t="s">
        <v>1732</v>
      </c>
      <c r="B1384" s="31"/>
      <c r="C1384" s="41">
        <v>50.0</v>
      </c>
      <c r="D1384" s="33" t="s">
        <v>1733</v>
      </c>
      <c r="E1384" s="42">
        <v>0.3</v>
      </c>
      <c r="F1384" s="35">
        <v>15.0</v>
      </c>
      <c r="G1384" s="36">
        <v>5.0</v>
      </c>
      <c r="H1384" s="43">
        <f t="shared" ref="H1384:H1388" si="436">I1384/C1384</f>
        <v>0.4</v>
      </c>
      <c r="I1384" s="43">
        <f t="shared" ref="I1384:I1388" si="437">F1384+G1384</f>
        <v>20</v>
      </c>
      <c r="J1384" s="37"/>
      <c r="K1384" s="45">
        <f t="shared" ref="K1384:K1388" si="438">I1384*J1384</f>
        <v>0</v>
      </c>
    </row>
    <row r="1385" ht="15.0" customHeight="1">
      <c r="A1385" s="39" t="s">
        <v>1734</v>
      </c>
      <c r="B1385" s="31"/>
      <c r="C1385" s="41">
        <v>1.0</v>
      </c>
      <c r="D1385" s="33">
        <v>7.155633068651E12</v>
      </c>
      <c r="E1385" s="42">
        <v>11.5</v>
      </c>
      <c r="F1385" s="35">
        <v>11.5</v>
      </c>
      <c r="G1385" s="36">
        <v>2.0</v>
      </c>
      <c r="H1385" s="43">
        <f t="shared" si="436"/>
        <v>13.5</v>
      </c>
      <c r="I1385" s="43">
        <f t="shared" si="437"/>
        <v>13.5</v>
      </c>
      <c r="J1385" s="37"/>
      <c r="K1385" s="45">
        <f t="shared" si="438"/>
        <v>0</v>
      </c>
    </row>
    <row r="1386" ht="15.0" customHeight="1">
      <c r="A1386" s="39" t="s">
        <v>1735</v>
      </c>
      <c r="B1386" s="31"/>
      <c r="C1386" s="41">
        <v>12.0</v>
      </c>
      <c r="D1386" s="33">
        <v>4.056455380415E12</v>
      </c>
      <c r="E1386" s="42">
        <v>1.6</v>
      </c>
      <c r="F1386" s="35">
        <v>19.2</v>
      </c>
      <c r="G1386" s="36">
        <v>3.0</v>
      </c>
      <c r="H1386" s="43">
        <f t="shared" si="436"/>
        <v>1.85</v>
      </c>
      <c r="I1386" s="43">
        <f t="shared" si="437"/>
        <v>22.2</v>
      </c>
      <c r="J1386" s="37"/>
      <c r="K1386" s="45">
        <f t="shared" si="438"/>
        <v>0</v>
      </c>
    </row>
    <row r="1387" ht="15.0" customHeight="1">
      <c r="A1387" s="39" t="s">
        <v>1736</v>
      </c>
      <c r="B1387" s="31"/>
      <c r="C1387" s="41">
        <v>16.0</v>
      </c>
      <c r="D1387" s="33">
        <v>5.999071042062E12</v>
      </c>
      <c r="E1387" s="42">
        <v>1.65</v>
      </c>
      <c r="F1387" s="35">
        <v>26.4</v>
      </c>
      <c r="G1387" s="36">
        <v>5.0</v>
      </c>
      <c r="H1387" s="43">
        <f t="shared" si="436"/>
        <v>1.9625</v>
      </c>
      <c r="I1387" s="43">
        <f t="shared" si="437"/>
        <v>31.4</v>
      </c>
      <c r="J1387" s="37"/>
      <c r="K1387" s="45">
        <f t="shared" si="438"/>
        <v>0</v>
      </c>
    </row>
    <row r="1388" ht="15.0" customHeight="1">
      <c r="A1388" s="39" t="s">
        <v>1737</v>
      </c>
      <c r="B1388" s="31"/>
      <c r="C1388" s="41">
        <v>24.0</v>
      </c>
      <c r="D1388" s="33">
        <v>4.014663282495E12</v>
      </c>
      <c r="E1388" s="42">
        <v>1.65</v>
      </c>
      <c r="F1388" s="35">
        <v>39.6</v>
      </c>
      <c r="G1388" s="36">
        <v>5.0</v>
      </c>
      <c r="H1388" s="43">
        <f t="shared" si="436"/>
        <v>1.858333333</v>
      </c>
      <c r="I1388" s="43">
        <f t="shared" si="437"/>
        <v>44.6</v>
      </c>
      <c r="J1388" s="37"/>
      <c r="K1388" s="45">
        <f t="shared" si="438"/>
        <v>0</v>
      </c>
    </row>
    <row r="1389" ht="15.0" customHeight="1">
      <c r="A1389" s="30" t="s">
        <v>1738</v>
      </c>
      <c r="B1389" s="31"/>
      <c r="C1389" s="32"/>
      <c r="D1389" s="33"/>
      <c r="E1389" s="34"/>
      <c r="F1389" s="35"/>
      <c r="G1389" s="36"/>
      <c r="H1389" s="43"/>
      <c r="I1389" s="43"/>
      <c r="J1389" s="37"/>
      <c r="K1389" s="45"/>
    </row>
    <row r="1390" ht="15.0" customHeight="1">
      <c r="A1390" s="39" t="s">
        <v>1739</v>
      </c>
      <c r="B1390" s="40" t="s">
        <v>1740</v>
      </c>
      <c r="C1390" s="41">
        <v>18.0</v>
      </c>
      <c r="D1390" s="33">
        <v>3.760196021421E12</v>
      </c>
      <c r="E1390" s="42">
        <v>2.95</v>
      </c>
      <c r="F1390" s="35">
        <v>53.1</v>
      </c>
      <c r="G1390" s="36">
        <v>5.0</v>
      </c>
      <c r="H1390" s="43">
        <f t="shared" ref="H1390:H1391" si="439">I1390/C1390</f>
        <v>3.227777778</v>
      </c>
      <c r="I1390" s="43">
        <f t="shared" ref="I1390:I1391" si="440">F1390+G1390</f>
        <v>58.1</v>
      </c>
      <c r="J1390" s="37"/>
      <c r="K1390" s="45">
        <f t="shared" ref="K1390:K1391" si="441">I1390*J1390</f>
        <v>0</v>
      </c>
    </row>
    <row r="1391" ht="15.0" customHeight="1">
      <c r="A1391" s="39" t="s">
        <v>1741</v>
      </c>
      <c r="B1391" s="40" t="s">
        <v>1740</v>
      </c>
      <c r="C1391" s="41">
        <v>18.0</v>
      </c>
      <c r="D1391" s="33">
        <v>3.760196022169E12</v>
      </c>
      <c r="E1391" s="42">
        <v>2.95</v>
      </c>
      <c r="F1391" s="35">
        <v>53.1</v>
      </c>
      <c r="G1391" s="36">
        <v>5.0</v>
      </c>
      <c r="H1391" s="43">
        <f t="shared" si="439"/>
        <v>3.227777778</v>
      </c>
      <c r="I1391" s="43">
        <f t="shared" si="440"/>
        <v>58.1</v>
      </c>
      <c r="J1391" s="37"/>
      <c r="K1391" s="45">
        <f t="shared" si="441"/>
        <v>0</v>
      </c>
    </row>
    <row r="1392" ht="15.0" customHeight="1">
      <c r="A1392" s="30" t="s">
        <v>1742</v>
      </c>
      <c r="B1392" s="31"/>
      <c r="C1392" s="32"/>
      <c r="D1392" s="33"/>
      <c r="E1392" s="34"/>
      <c r="F1392" s="35"/>
      <c r="G1392" s="36"/>
      <c r="H1392" s="43"/>
      <c r="I1392" s="43"/>
      <c r="J1392" s="37"/>
      <c r="K1392" s="45"/>
    </row>
    <row r="1393" ht="15.0" customHeight="1">
      <c r="A1393" s="39" t="s">
        <v>1743</v>
      </c>
      <c r="B1393" s="31"/>
      <c r="C1393" s="41">
        <v>50.0</v>
      </c>
      <c r="D1393" s="33">
        <v>5.412128750012E12</v>
      </c>
      <c r="E1393" s="42">
        <v>0.3</v>
      </c>
      <c r="F1393" s="35">
        <v>15.0</v>
      </c>
      <c r="G1393" s="36">
        <v>10.0</v>
      </c>
      <c r="H1393" s="43">
        <f t="shared" ref="H1393:H1398" si="442">I1393/C1393</f>
        <v>0.5</v>
      </c>
      <c r="I1393" s="43">
        <f t="shared" ref="I1393:I1398" si="443">F1393+G1393</f>
        <v>25</v>
      </c>
      <c r="J1393" s="37"/>
      <c r="K1393" s="45">
        <f t="shared" ref="K1393:K1398" si="444">I1393*J1393</f>
        <v>0</v>
      </c>
    </row>
    <row r="1394" ht="15.0" customHeight="1">
      <c r="A1394" s="39" t="s">
        <v>1744</v>
      </c>
      <c r="B1394" s="31"/>
      <c r="C1394" s="41">
        <v>50.0</v>
      </c>
      <c r="D1394" s="33" t="s">
        <v>248</v>
      </c>
      <c r="E1394" s="42">
        <v>0.35</v>
      </c>
      <c r="F1394" s="35">
        <v>17.5</v>
      </c>
      <c r="G1394" s="36">
        <v>1.0</v>
      </c>
      <c r="H1394" s="43">
        <f t="shared" si="442"/>
        <v>0.37</v>
      </c>
      <c r="I1394" s="43">
        <f t="shared" si="443"/>
        <v>18.5</v>
      </c>
      <c r="J1394" s="37"/>
      <c r="K1394" s="45">
        <f t="shared" si="444"/>
        <v>0</v>
      </c>
    </row>
    <row r="1395" ht="15.0" customHeight="1">
      <c r="A1395" s="39" t="s">
        <v>1745</v>
      </c>
      <c r="B1395" s="31"/>
      <c r="C1395" s="41">
        <v>60.0</v>
      </c>
      <c r="D1395" s="33" t="s">
        <v>248</v>
      </c>
      <c r="E1395" s="42">
        <v>1.35</v>
      </c>
      <c r="F1395" s="35">
        <v>81.0</v>
      </c>
      <c r="G1395" s="36">
        <v>1.0</v>
      </c>
      <c r="H1395" s="43">
        <f t="shared" si="442"/>
        <v>1.366666667</v>
      </c>
      <c r="I1395" s="43">
        <f t="shared" si="443"/>
        <v>82</v>
      </c>
      <c r="J1395" s="37"/>
      <c r="K1395" s="45">
        <f t="shared" si="444"/>
        <v>0</v>
      </c>
    </row>
    <row r="1396" ht="15.0" customHeight="1">
      <c r="A1396" s="39" t="s">
        <v>1746</v>
      </c>
      <c r="B1396" s="31"/>
      <c r="C1396" s="41">
        <v>50.0</v>
      </c>
      <c r="D1396" s="33">
        <v>3.086125002805E12</v>
      </c>
      <c r="E1396" s="42">
        <v>0.7</v>
      </c>
      <c r="F1396" s="35">
        <v>35.0</v>
      </c>
      <c r="G1396" s="36">
        <v>10.0</v>
      </c>
      <c r="H1396" s="43">
        <f t="shared" si="442"/>
        <v>0.9</v>
      </c>
      <c r="I1396" s="43">
        <f t="shared" si="443"/>
        <v>45</v>
      </c>
      <c r="J1396" s="37"/>
      <c r="K1396" s="45">
        <f t="shared" si="444"/>
        <v>0</v>
      </c>
    </row>
    <row r="1397" ht="15.0" customHeight="1">
      <c r="A1397" s="39" t="s">
        <v>1747</v>
      </c>
      <c r="B1397" s="31"/>
      <c r="C1397" s="41">
        <v>50.0</v>
      </c>
      <c r="D1397" s="33">
        <v>3.086125002843E12</v>
      </c>
      <c r="E1397" s="42">
        <v>0.85</v>
      </c>
      <c r="F1397" s="35">
        <v>42.5</v>
      </c>
      <c r="G1397" s="36">
        <v>10.0</v>
      </c>
      <c r="H1397" s="43">
        <f t="shared" si="442"/>
        <v>1.05</v>
      </c>
      <c r="I1397" s="43">
        <f t="shared" si="443"/>
        <v>52.5</v>
      </c>
      <c r="J1397" s="37"/>
      <c r="K1397" s="45">
        <f t="shared" si="444"/>
        <v>0</v>
      </c>
    </row>
    <row r="1398" ht="15.0" customHeight="1">
      <c r="A1398" s="39" t="s">
        <v>1748</v>
      </c>
      <c r="B1398" s="31"/>
      <c r="C1398" s="41">
        <v>48.0</v>
      </c>
      <c r="D1398" s="33" t="s">
        <v>248</v>
      </c>
      <c r="E1398" s="42">
        <v>0.7</v>
      </c>
      <c r="F1398" s="35">
        <v>33.6</v>
      </c>
      <c r="G1398" s="36">
        <v>1.0</v>
      </c>
      <c r="H1398" s="43">
        <f t="shared" si="442"/>
        <v>0.7208333333</v>
      </c>
      <c r="I1398" s="43">
        <f t="shared" si="443"/>
        <v>34.6</v>
      </c>
      <c r="J1398" s="37"/>
      <c r="K1398" s="45">
        <f t="shared" si="444"/>
        <v>0</v>
      </c>
    </row>
    <row r="1399" ht="15.0" customHeight="1">
      <c r="A1399" s="133"/>
      <c r="B1399" s="140"/>
      <c r="C1399" s="141"/>
      <c r="D1399" s="33"/>
      <c r="E1399" s="34"/>
      <c r="F1399" s="35"/>
      <c r="G1399" s="36"/>
      <c r="H1399" s="43"/>
      <c r="I1399" s="43"/>
      <c r="J1399" s="37"/>
      <c r="K1399" s="45"/>
    </row>
    <row r="1400" ht="15.0" customHeight="1">
      <c r="A1400" s="103" t="s">
        <v>1749</v>
      </c>
      <c r="B1400" s="106"/>
      <c r="C1400" s="107"/>
      <c r="D1400" s="108"/>
      <c r="E1400" s="34"/>
      <c r="F1400" s="35"/>
      <c r="G1400" s="36"/>
      <c r="H1400" s="43"/>
      <c r="I1400" s="43"/>
      <c r="J1400" s="37"/>
      <c r="K1400" s="45"/>
    </row>
    <row r="1401" ht="15.0" customHeight="1">
      <c r="A1401" s="39" t="s">
        <v>1750</v>
      </c>
      <c r="B1401" s="40">
        <v>4.0</v>
      </c>
      <c r="C1401" s="41">
        <v>20.0</v>
      </c>
      <c r="D1401" s="33">
        <v>4.008496525157E12</v>
      </c>
      <c r="E1401" s="42">
        <v>1.35</v>
      </c>
      <c r="F1401" s="35">
        <v>27.0</v>
      </c>
      <c r="G1401" s="36">
        <v>2.0</v>
      </c>
      <c r="H1401" s="43">
        <f t="shared" ref="H1401:H1424" si="445">I1401/C1401</f>
        <v>1.45</v>
      </c>
      <c r="I1401" s="43">
        <f t="shared" ref="I1401:I1424" si="446">F1401+G1401</f>
        <v>29</v>
      </c>
      <c r="J1401" s="37"/>
      <c r="K1401" s="45">
        <f t="shared" ref="K1401:K1424" si="447">I1401*J1401</f>
        <v>0</v>
      </c>
    </row>
    <row r="1402" ht="15.0" customHeight="1">
      <c r="A1402" s="39" t="s">
        <v>1751</v>
      </c>
      <c r="B1402" s="40">
        <v>4.0</v>
      </c>
      <c r="C1402" s="41">
        <v>10.0</v>
      </c>
      <c r="D1402" s="33">
        <v>4.008496525072E12</v>
      </c>
      <c r="E1402" s="42">
        <v>1.4</v>
      </c>
      <c r="F1402" s="35">
        <v>14.0</v>
      </c>
      <c r="G1402" s="36">
        <v>2.0</v>
      </c>
      <c r="H1402" s="43">
        <f t="shared" si="445"/>
        <v>1.6</v>
      </c>
      <c r="I1402" s="43">
        <f t="shared" si="446"/>
        <v>16</v>
      </c>
      <c r="J1402" s="37"/>
      <c r="K1402" s="45">
        <f t="shared" si="447"/>
        <v>0</v>
      </c>
    </row>
    <row r="1403" ht="15.0" customHeight="1">
      <c r="A1403" s="39" t="s">
        <v>1752</v>
      </c>
      <c r="B1403" s="40">
        <v>2.0</v>
      </c>
      <c r="C1403" s="41">
        <v>10.0</v>
      </c>
      <c r="D1403" s="33">
        <v>4.008496525263E12</v>
      </c>
      <c r="E1403" s="42">
        <v>1.75</v>
      </c>
      <c r="F1403" s="35">
        <v>17.5</v>
      </c>
      <c r="G1403" s="36">
        <v>2.0</v>
      </c>
      <c r="H1403" s="43">
        <f t="shared" si="445"/>
        <v>1.95</v>
      </c>
      <c r="I1403" s="43">
        <f t="shared" si="446"/>
        <v>19.5</v>
      </c>
      <c r="J1403" s="37"/>
      <c r="K1403" s="45">
        <f t="shared" si="447"/>
        <v>0</v>
      </c>
    </row>
    <row r="1404" ht="15.0" customHeight="1">
      <c r="A1404" s="39" t="s">
        <v>1753</v>
      </c>
      <c r="B1404" s="40">
        <v>2.0</v>
      </c>
      <c r="C1404" s="41">
        <v>10.0</v>
      </c>
      <c r="D1404" s="33">
        <v>4.008496525348E12</v>
      </c>
      <c r="E1404" s="42">
        <v>2.1</v>
      </c>
      <c r="F1404" s="35">
        <v>21.0</v>
      </c>
      <c r="G1404" s="36">
        <v>2.0</v>
      </c>
      <c r="H1404" s="43">
        <f t="shared" si="445"/>
        <v>2.3</v>
      </c>
      <c r="I1404" s="43">
        <f t="shared" si="446"/>
        <v>23</v>
      </c>
      <c r="J1404" s="37"/>
      <c r="K1404" s="45">
        <f t="shared" si="447"/>
        <v>0</v>
      </c>
    </row>
    <row r="1405" ht="15.0" customHeight="1">
      <c r="A1405" s="39" t="s">
        <v>1754</v>
      </c>
      <c r="B1405" s="40">
        <v>4.0</v>
      </c>
      <c r="C1405" s="41">
        <v>20.0</v>
      </c>
      <c r="D1405" s="33">
        <v>4.008496559435E12</v>
      </c>
      <c r="E1405" s="42">
        <v>1.5</v>
      </c>
      <c r="F1405" s="35">
        <v>30.0</v>
      </c>
      <c r="G1405" s="36">
        <v>2.0</v>
      </c>
      <c r="H1405" s="43">
        <f t="shared" si="445"/>
        <v>1.6</v>
      </c>
      <c r="I1405" s="43">
        <f t="shared" si="446"/>
        <v>32</v>
      </c>
      <c r="J1405" s="37"/>
      <c r="K1405" s="45">
        <f t="shared" si="447"/>
        <v>0</v>
      </c>
    </row>
    <row r="1406" ht="15.0" customHeight="1">
      <c r="A1406" s="39" t="s">
        <v>1755</v>
      </c>
      <c r="B1406" s="40">
        <v>4.0</v>
      </c>
      <c r="C1406" s="41">
        <v>10.0</v>
      </c>
      <c r="D1406" s="33">
        <v>4.008496559749E12</v>
      </c>
      <c r="E1406" s="42">
        <v>1.5</v>
      </c>
      <c r="F1406" s="35">
        <v>15.0</v>
      </c>
      <c r="G1406" s="36">
        <v>2.0</v>
      </c>
      <c r="H1406" s="43">
        <f t="shared" si="445"/>
        <v>1.7</v>
      </c>
      <c r="I1406" s="43">
        <f t="shared" si="446"/>
        <v>17</v>
      </c>
      <c r="J1406" s="37"/>
      <c r="K1406" s="45">
        <f t="shared" si="447"/>
        <v>0</v>
      </c>
    </row>
    <row r="1407" ht="15.0" customHeight="1">
      <c r="A1407" s="39" t="s">
        <v>1756</v>
      </c>
      <c r="B1407" s="40">
        <v>2.0</v>
      </c>
      <c r="C1407" s="41">
        <v>10.0</v>
      </c>
      <c r="D1407" s="33">
        <v>4.008496559312E12</v>
      </c>
      <c r="E1407" s="42">
        <v>1.75</v>
      </c>
      <c r="F1407" s="35">
        <v>17.5</v>
      </c>
      <c r="G1407" s="36">
        <v>2.0</v>
      </c>
      <c r="H1407" s="43">
        <f t="shared" si="445"/>
        <v>1.95</v>
      </c>
      <c r="I1407" s="43">
        <f t="shared" si="446"/>
        <v>19.5</v>
      </c>
      <c r="J1407" s="37"/>
      <c r="K1407" s="45">
        <f t="shared" si="447"/>
        <v>0</v>
      </c>
    </row>
    <row r="1408" ht="15.0" customHeight="1">
      <c r="A1408" s="39" t="s">
        <v>1757</v>
      </c>
      <c r="B1408" s="40">
        <v>2.0</v>
      </c>
      <c r="C1408" s="41">
        <v>10.0</v>
      </c>
      <c r="D1408" s="33">
        <v>4.008496559237E12</v>
      </c>
      <c r="E1408" s="42">
        <v>2.25</v>
      </c>
      <c r="F1408" s="35">
        <v>22.5</v>
      </c>
      <c r="G1408" s="36">
        <v>2.0</v>
      </c>
      <c r="H1408" s="43">
        <f t="shared" si="445"/>
        <v>2.45</v>
      </c>
      <c r="I1408" s="43">
        <f t="shared" si="446"/>
        <v>24.5</v>
      </c>
      <c r="J1408" s="37"/>
      <c r="K1408" s="45">
        <f t="shared" si="447"/>
        <v>0</v>
      </c>
    </row>
    <row r="1409" ht="15.0" customHeight="1">
      <c r="A1409" s="39" t="s">
        <v>1758</v>
      </c>
      <c r="B1409" s="40">
        <v>1.0</v>
      </c>
      <c r="C1409" s="41">
        <v>10.0</v>
      </c>
      <c r="D1409" s="33">
        <v>4.008496525423E12</v>
      </c>
      <c r="E1409" s="42">
        <v>1.5</v>
      </c>
      <c r="F1409" s="35">
        <v>15.0</v>
      </c>
      <c r="G1409" s="36">
        <v>2.0</v>
      </c>
      <c r="H1409" s="43">
        <f t="shared" si="445"/>
        <v>1.7</v>
      </c>
      <c r="I1409" s="43">
        <f t="shared" si="446"/>
        <v>17</v>
      </c>
      <c r="J1409" s="37"/>
      <c r="K1409" s="45">
        <f t="shared" si="447"/>
        <v>0</v>
      </c>
    </row>
    <row r="1410" ht="15.0" customHeight="1">
      <c r="A1410" s="39" t="s">
        <v>1759</v>
      </c>
      <c r="B1410" s="40">
        <v>1.0</v>
      </c>
      <c r="C1410" s="41">
        <v>10.0</v>
      </c>
      <c r="D1410" s="33">
        <v>4.008496559862E12</v>
      </c>
      <c r="E1410" s="42">
        <v>1.5</v>
      </c>
      <c r="F1410" s="35">
        <v>15.0</v>
      </c>
      <c r="G1410" s="36">
        <v>2.0</v>
      </c>
      <c r="H1410" s="43">
        <f t="shared" si="445"/>
        <v>1.7</v>
      </c>
      <c r="I1410" s="43">
        <f t="shared" si="446"/>
        <v>17</v>
      </c>
      <c r="J1410" s="37"/>
      <c r="K1410" s="45">
        <f t="shared" si="447"/>
        <v>0</v>
      </c>
    </row>
    <row r="1411" ht="15.0" customHeight="1">
      <c r="A1411" s="39" t="s">
        <v>1760</v>
      </c>
      <c r="B1411" s="40">
        <v>1.0</v>
      </c>
      <c r="C1411" s="41">
        <v>10.0</v>
      </c>
      <c r="D1411" s="33">
        <v>4.008496559947E12</v>
      </c>
      <c r="E1411" s="42">
        <v>2.5</v>
      </c>
      <c r="F1411" s="35">
        <v>25.0</v>
      </c>
      <c r="G1411" s="36">
        <v>2.0</v>
      </c>
      <c r="H1411" s="43">
        <f t="shared" si="445"/>
        <v>2.7</v>
      </c>
      <c r="I1411" s="43">
        <f t="shared" si="446"/>
        <v>27</v>
      </c>
      <c r="J1411" s="37"/>
      <c r="K1411" s="45">
        <f t="shared" si="447"/>
        <v>0</v>
      </c>
    </row>
    <row r="1412" ht="15.0" customHeight="1">
      <c r="A1412" s="39" t="s">
        <v>1761</v>
      </c>
      <c r="B1412" s="40">
        <v>1.0</v>
      </c>
      <c r="C1412" s="41">
        <v>10.0</v>
      </c>
      <c r="D1412" s="33">
        <v>4.008496261628E12</v>
      </c>
      <c r="E1412" s="42">
        <v>1.15</v>
      </c>
      <c r="F1412" s="35">
        <v>11.5</v>
      </c>
      <c r="G1412" s="36">
        <v>2.0</v>
      </c>
      <c r="H1412" s="43">
        <f t="shared" si="445"/>
        <v>1.35</v>
      </c>
      <c r="I1412" s="43">
        <f t="shared" si="446"/>
        <v>13.5</v>
      </c>
      <c r="J1412" s="37"/>
      <c r="K1412" s="45">
        <f t="shared" si="447"/>
        <v>0</v>
      </c>
    </row>
    <row r="1413" ht="15.0" customHeight="1">
      <c r="A1413" s="39" t="s">
        <v>1762</v>
      </c>
      <c r="B1413" s="40">
        <v>1.0</v>
      </c>
      <c r="C1413" s="41">
        <v>10.0</v>
      </c>
      <c r="D1413" s="33">
        <v>4.008496537365E12</v>
      </c>
      <c r="E1413" s="42">
        <v>2.75</v>
      </c>
      <c r="F1413" s="35">
        <v>27.5</v>
      </c>
      <c r="G1413" s="36">
        <v>2.0</v>
      </c>
      <c r="H1413" s="43">
        <f t="shared" si="445"/>
        <v>2.95</v>
      </c>
      <c r="I1413" s="43">
        <f t="shared" si="446"/>
        <v>29.5</v>
      </c>
      <c r="J1413" s="37"/>
      <c r="K1413" s="45">
        <f t="shared" si="447"/>
        <v>0</v>
      </c>
    </row>
    <row r="1414" ht="15.0" customHeight="1">
      <c r="A1414" s="39" t="s">
        <v>1763</v>
      </c>
      <c r="B1414" s="40">
        <v>1.0</v>
      </c>
      <c r="C1414" s="41">
        <v>10.0</v>
      </c>
      <c r="D1414" s="33">
        <v>4.00849653728E12</v>
      </c>
      <c r="E1414" s="42">
        <v>2.35</v>
      </c>
      <c r="F1414" s="35">
        <v>23.5</v>
      </c>
      <c r="G1414" s="36">
        <v>2.0</v>
      </c>
      <c r="H1414" s="43">
        <f t="shared" si="445"/>
        <v>2.55</v>
      </c>
      <c r="I1414" s="43">
        <f t="shared" si="446"/>
        <v>25.5</v>
      </c>
      <c r="J1414" s="37"/>
      <c r="K1414" s="45">
        <f t="shared" si="447"/>
        <v>0</v>
      </c>
    </row>
    <row r="1415" ht="15.0" customHeight="1">
      <c r="A1415" s="39" t="s">
        <v>1764</v>
      </c>
      <c r="B1415" s="40">
        <v>4.0</v>
      </c>
      <c r="C1415" s="41">
        <v>10.0</v>
      </c>
      <c r="D1415" s="33">
        <v>4.008496625321E12</v>
      </c>
      <c r="E1415" s="42">
        <v>5.05</v>
      </c>
      <c r="F1415" s="35">
        <v>50.5</v>
      </c>
      <c r="G1415" s="36">
        <v>2.0</v>
      </c>
      <c r="H1415" s="43">
        <f t="shared" si="445"/>
        <v>5.25</v>
      </c>
      <c r="I1415" s="43">
        <f t="shared" si="446"/>
        <v>52.5</v>
      </c>
      <c r="J1415" s="37"/>
      <c r="K1415" s="45">
        <f t="shared" si="447"/>
        <v>0</v>
      </c>
    </row>
    <row r="1416" ht="15.0" customHeight="1">
      <c r="A1416" s="39" t="s">
        <v>1765</v>
      </c>
      <c r="B1416" s="40">
        <v>4.0</v>
      </c>
      <c r="C1416" s="41">
        <v>10.0</v>
      </c>
      <c r="D1416" s="33">
        <v>4.008496625284E12</v>
      </c>
      <c r="E1416" s="42">
        <v>5.6</v>
      </c>
      <c r="F1416" s="35">
        <v>56.0</v>
      </c>
      <c r="G1416" s="36">
        <v>2.0</v>
      </c>
      <c r="H1416" s="43">
        <f t="shared" si="445"/>
        <v>5.8</v>
      </c>
      <c r="I1416" s="43">
        <f t="shared" si="446"/>
        <v>58</v>
      </c>
      <c r="J1416" s="37"/>
      <c r="K1416" s="45">
        <f t="shared" si="447"/>
        <v>0</v>
      </c>
    </row>
    <row r="1417" ht="15.0" customHeight="1">
      <c r="A1417" s="39" t="s">
        <v>1766</v>
      </c>
      <c r="B1417" s="40">
        <v>1.0</v>
      </c>
      <c r="C1417" s="41">
        <v>10.0</v>
      </c>
      <c r="D1417" s="33">
        <v>4.008496276639E12</v>
      </c>
      <c r="E1417" s="42">
        <v>0.8</v>
      </c>
      <c r="F1417" s="35">
        <v>8.0</v>
      </c>
      <c r="G1417" s="36">
        <v>2.0</v>
      </c>
      <c r="H1417" s="43">
        <f t="shared" si="445"/>
        <v>1</v>
      </c>
      <c r="I1417" s="43">
        <f t="shared" si="446"/>
        <v>10</v>
      </c>
      <c r="J1417" s="37"/>
      <c r="K1417" s="45">
        <f t="shared" si="447"/>
        <v>0</v>
      </c>
    </row>
    <row r="1418" ht="15.0" customHeight="1">
      <c r="A1418" s="39" t="s">
        <v>1767</v>
      </c>
      <c r="B1418" s="40">
        <v>1.0</v>
      </c>
      <c r="C1418" s="41">
        <v>10.0</v>
      </c>
      <c r="D1418" s="33">
        <v>4.008496276875E12</v>
      </c>
      <c r="E1418" s="42">
        <v>0.8</v>
      </c>
      <c r="F1418" s="35">
        <v>8.0</v>
      </c>
      <c r="G1418" s="36">
        <v>2.0</v>
      </c>
      <c r="H1418" s="43">
        <f t="shared" si="445"/>
        <v>1</v>
      </c>
      <c r="I1418" s="43">
        <f t="shared" si="446"/>
        <v>10</v>
      </c>
      <c r="J1418" s="37"/>
      <c r="K1418" s="45">
        <f t="shared" si="447"/>
        <v>0</v>
      </c>
    </row>
    <row r="1419" ht="15.0" customHeight="1">
      <c r="A1419" s="39" t="s">
        <v>1768</v>
      </c>
      <c r="B1419" s="40">
        <v>1.0</v>
      </c>
      <c r="C1419" s="41">
        <v>10.0</v>
      </c>
      <c r="D1419" s="33">
        <v>4.008496276882E12</v>
      </c>
      <c r="E1419" s="42">
        <v>0.8</v>
      </c>
      <c r="F1419" s="35">
        <v>8.0</v>
      </c>
      <c r="G1419" s="36">
        <v>2.0</v>
      </c>
      <c r="H1419" s="43">
        <f t="shared" si="445"/>
        <v>1</v>
      </c>
      <c r="I1419" s="43">
        <f t="shared" si="446"/>
        <v>10</v>
      </c>
      <c r="J1419" s="37"/>
      <c r="K1419" s="45">
        <f t="shared" si="447"/>
        <v>0</v>
      </c>
    </row>
    <row r="1420" ht="15.0" customHeight="1">
      <c r="A1420" s="39" t="s">
        <v>1769</v>
      </c>
      <c r="B1420" s="40">
        <v>1.0</v>
      </c>
      <c r="C1420" s="41">
        <v>10.0</v>
      </c>
      <c r="D1420" s="33">
        <v>4.008496297641E12</v>
      </c>
      <c r="E1420" s="42">
        <v>0.8</v>
      </c>
      <c r="F1420" s="35">
        <v>8.0</v>
      </c>
      <c r="G1420" s="36">
        <v>2.0</v>
      </c>
      <c r="H1420" s="43">
        <f t="shared" si="445"/>
        <v>1</v>
      </c>
      <c r="I1420" s="43">
        <f t="shared" si="446"/>
        <v>10</v>
      </c>
      <c r="J1420" s="37"/>
      <c r="K1420" s="45">
        <f t="shared" si="447"/>
        <v>0</v>
      </c>
    </row>
    <row r="1421" ht="15.0" customHeight="1">
      <c r="A1421" s="39" t="s">
        <v>1770</v>
      </c>
      <c r="B1421" s="40">
        <v>1.0</v>
      </c>
      <c r="C1421" s="41">
        <v>10.0</v>
      </c>
      <c r="D1421" s="33">
        <v>4.008496270989E12</v>
      </c>
      <c r="E1421" s="42">
        <v>1.25</v>
      </c>
      <c r="F1421" s="35">
        <v>12.5</v>
      </c>
      <c r="G1421" s="36">
        <v>2.0</v>
      </c>
      <c r="H1421" s="43">
        <f t="shared" si="445"/>
        <v>1.45</v>
      </c>
      <c r="I1421" s="43">
        <f t="shared" si="446"/>
        <v>14.5</v>
      </c>
      <c r="J1421" s="37"/>
      <c r="K1421" s="45">
        <f t="shared" si="447"/>
        <v>0</v>
      </c>
    </row>
    <row r="1422" ht="15.0" customHeight="1">
      <c r="A1422" s="39" t="s">
        <v>1771</v>
      </c>
      <c r="B1422" s="40">
        <v>2.0</v>
      </c>
      <c r="C1422" s="41">
        <v>10.0</v>
      </c>
      <c r="D1422" s="33">
        <v>4.008496746385E12</v>
      </c>
      <c r="E1422" s="42">
        <v>1.25</v>
      </c>
      <c r="F1422" s="35">
        <v>12.5</v>
      </c>
      <c r="G1422" s="36">
        <v>2.0</v>
      </c>
      <c r="H1422" s="43">
        <f t="shared" si="445"/>
        <v>1.45</v>
      </c>
      <c r="I1422" s="43">
        <f t="shared" si="446"/>
        <v>14.5</v>
      </c>
      <c r="J1422" s="37"/>
      <c r="K1422" s="45">
        <f t="shared" si="447"/>
        <v>0</v>
      </c>
    </row>
    <row r="1423" ht="15.0" customHeight="1">
      <c r="A1423" s="39" t="s">
        <v>1772</v>
      </c>
      <c r="B1423" s="40">
        <v>2.0</v>
      </c>
      <c r="C1423" s="41">
        <v>10.0</v>
      </c>
      <c r="D1423" s="33">
        <v>4.008496746422E12</v>
      </c>
      <c r="E1423" s="42">
        <v>1.25</v>
      </c>
      <c r="F1423" s="35">
        <v>12.5</v>
      </c>
      <c r="G1423" s="36">
        <v>2.0</v>
      </c>
      <c r="H1423" s="43">
        <f t="shared" si="445"/>
        <v>1.45</v>
      </c>
      <c r="I1423" s="43">
        <f t="shared" si="446"/>
        <v>14.5</v>
      </c>
      <c r="J1423" s="37"/>
      <c r="K1423" s="45">
        <f t="shared" si="447"/>
        <v>0</v>
      </c>
    </row>
    <row r="1424" ht="15.0" customHeight="1">
      <c r="A1424" s="39" t="s">
        <v>1773</v>
      </c>
      <c r="B1424" s="40">
        <v>2.0</v>
      </c>
      <c r="C1424" s="41">
        <v>10.0</v>
      </c>
      <c r="D1424" s="33">
        <v>4.00849674646E12</v>
      </c>
      <c r="E1424" s="42">
        <v>1.25</v>
      </c>
      <c r="F1424" s="35">
        <v>12.5</v>
      </c>
      <c r="G1424" s="36">
        <v>2.0</v>
      </c>
      <c r="H1424" s="43">
        <f t="shared" si="445"/>
        <v>1.45</v>
      </c>
      <c r="I1424" s="43">
        <f t="shared" si="446"/>
        <v>14.5</v>
      </c>
      <c r="J1424" s="37"/>
      <c r="K1424" s="45">
        <f t="shared" si="447"/>
        <v>0</v>
      </c>
    </row>
    <row r="1425" ht="15.0" customHeight="1">
      <c r="A1425" s="39" t="s">
        <v>1774</v>
      </c>
      <c r="B1425" s="40" t="s">
        <v>1127</v>
      </c>
      <c r="C1425" s="41">
        <v>1.0</v>
      </c>
      <c r="D1425" s="33">
        <v>4.008496632985E12</v>
      </c>
      <c r="E1425" s="34"/>
      <c r="F1425" s="35"/>
      <c r="G1425" s="36" t="s">
        <v>1127</v>
      </c>
      <c r="H1425" s="43"/>
      <c r="I1425" s="43"/>
      <c r="J1425" s="37"/>
      <c r="K1425" s="45"/>
    </row>
    <row r="1426" ht="15.0" customHeight="1">
      <c r="A1426" s="39" t="s">
        <v>1775</v>
      </c>
      <c r="B1426" s="40" t="s">
        <v>1127</v>
      </c>
      <c r="C1426" s="41">
        <v>1.0</v>
      </c>
      <c r="D1426" s="33">
        <v>4.008496633029E12</v>
      </c>
      <c r="E1426" s="34"/>
      <c r="F1426" s="35"/>
      <c r="G1426" s="36" t="s">
        <v>1127</v>
      </c>
      <c r="H1426" s="43"/>
      <c r="I1426" s="43"/>
      <c r="J1426" s="37"/>
      <c r="K1426" s="45"/>
    </row>
    <row r="1427" ht="15.0" customHeight="1">
      <c r="A1427" s="39" t="s">
        <v>1776</v>
      </c>
      <c r="B1427" s="40" t="s">
        <v>1127</v>
      </c>
      <c r="C1427" s="41">
        <v>1.0</v>
      </c>
      <c r="D1427" s="33">
        <v>4.008496865529E12</v>
      </c>
      <c r="E1427" s="34"/>
      <c r="F1427" s="35"/>
      <c r="G1427" s="36" t="s">
        <v>1127</v>
      </c>
      <c r="H1427" s="43"/>
      <c r="I1427" s="43"/>
      <c r="J1427" s="37"/>
      <c r="K1427" s="45"/>
    </row>
    <row r="1428" ht="15.0" customHeight="1">
      <c r="A1428" s="39" t="s">
        <v>1777</v>
      </c>
      <c r="B1428" s="40" t="s">
        <v>1127</v>
      </c>
      <c r="C1428" s="41">
        <v>1.0</v>
      </c>
      <c r="D1428" s="33">
        <v>4.008496732586E12</v>
      </c>
      <c r="E1428" s="34"/>
      <c r="F1428" s="35"/>
      <c r="G1428" s="36" t="s">
        <v>1127</v>
      </c>
      <c r="H1428" s="43"/>
      <c r="I1428" s="43"/>
      <c r="J1428" s="37"/>
      <c r="K1428" s="45"/>
    </row>
    <row r="1429" ht="15.0" customHeight="1">
      <c r="A1429" s="39" t="s">
        <v>1778</v>
      </c>
      <c r="B1429" s="40" t="s">
        <v>1127</v>
      </c>
      <c r="C1429" s="41">
        <v>1.0</v>
      </c>
      <c r="D1429" s="33">
        <v>4.008496261314E12</v>
      </c>
      <c r="E1429" s="34"/>
      <c r="F1429" s="35"/>
      <c r="G1429" s="36" t="s">
        <v>1127</v>
      </c>
      <c r="H1429" s="43"/>
      <c r="I1429" s="43"/>
      <c r="J1429" s="37"/>
      <c r="K1429" s="45"/>
    </row>
    <row r="1430" ht="15.0" customHeight="1">
      <c r="A1430" s="39" t="s">
        <v>1779</v>
      </c>
      <c r="B1430" s="40" t="s">
        <v>1127</v>
      </c>
      <c r="C1430" s="41">
        <v>1.0</v>
      </c>
      <c r="D1430" s="33">
        <v>4.008496633043E12</v>
      </c>
      <c r="E1430" s="34"/>
      <c r="F1430" s="35"/>
      <c r="G1430" s="36" t="s">
        <v>1127</v>
      </c>
      <c r="H1430" s="43"/>
      <c r="I1430" s="43"/>
      <c r="J1430" s="37"/>
      <c r="K1430" s="45"/>
    </row>
    <row r="1431" ht="15.0" customHeight="1">
      <c r="A1431" s="103" t="s">
        <v>1780</v>
      </c>
      <c r="B1431" s="106"/>
      <c r="C1431" s="107"/>
      <c r="D1431" s="108"/>
      <c r="E1431" s="34"/>
      <c r="F1431" s="35"/>
      <c r="G1431" s="36"/>
      <c r="H1431" s="43"/>
      <c r="I1431" s="43"/>
      <c r="J1431" s="37"/>
      <c r="K1431" s="45"/>
    </row>
    <row r="1432" ht="15.0" customHeight="1">
      <c r="A1432" s="30" t="s">
        <v>1781</v>
      </c>
      <c r="B1432" s="31"/>
      <c r="C1432" s="32"/>
      <c r="D1432" s="33"/>
      <c r="E1432" s="34"/>
      <c r="F1432" s="35"/>
      <c r="G1432" s="36"/>
      <c r="H1432" s="43"/>
      <c r="I1432" s="43"/>
      <c r="J1432" s="37"/>
      <c r="K1432" s="45"/>
    </row>
    <row r="1433" ht="15.0" customHeight="1">
      <c r="A1433" s="39" t="s">
        <v>1782</v>
      </c>
      <c r="B1433" s="40" t="s">
        <v>1127</v>
      </c>
      <c r="C1433" s="41">
        <v>1.0</v>
      </c>
      <c r="D1433" s="33" t="s">
        <v>1127</v>
      </c>
      <c r="E1433" s="34"/>
      <c r="F1433" s="35"/>
      <c r="G1433" s="36" t="s">
        <v>1127</v>
      </c>
      <c r="H1433" s="43"/>
      <c r="I1433" s="43"/>
      <c r="J1433" s="37"/>
      <c r="K1433" s="45"/>
    </row>
    <row r="1434" ht="15.0" customHeight="1">
      <c r="A1434" s="39" t="s">
        <v>1783</v>
      </c>
      <c r="B1434" s="40" t="s">
        <v>1127</v>
      </c>
      <c r="C1434" s="41">
        <v>1.0</v>
      </c>
      <c r="D1434" s="33" t="s">
        <v>1127</v>
      </c>
      <c r="E1434" s="34"/>
      <c r="F1434" s="35"/>
      <c r="G1434" s="36" t="s">
        <v>1127</v>
      </c>
      <c r="H1434" s="43"/>
      <c r="I1434" s="43"/>
      <c r="J1434" s="37"/>
      <c r="K1434" s="45"/>
    </row>
    <row r="1435" ht="15.0" customHeight="1">
      <c r="A1435" s="39" t="s">
        <v>1784</v>
      </c>
      <c r="B1435" s="40" t="s">
        <v>1127</v>
      </c>
      <c r="C1435" s="41">
        <v>1.0</v>
      </c>
      <c r="D1435" s="33" t="s">
        <v>1127</v>
      </c>
      <c r="E1435" s="34"/>
      <c r="F1435" s="35"/>
      <c r="G1435" s="36" t="s">
        <v>1127</v>
      </c>
      <c r="H1435" s="43"/>
      <c r="I1435" s="43"/>
      <c r="J1435" s="37"/>
      <c r="K1435" s="45"/>
    </row>
    <row r="1436" ht="15.0" customHeight="1">
      <c r="A1436" s="39" t="s">
        <v>1785</v>
      </c>
      <c r="B1436" s="40" t="s">
        <v>1127</v>
      </c>
      <c r="C1436" s="41">
        <v>1.0</v>
      </c>
      <c r="D1436" s="33" t="s">
        <v>1127</v>
      </c>
      <c r="E1436" s="34"/>
      <c r="F1436" s="35"/>
      <c r="G1436" s="36" t="s">
        <v>1127</v>
      </c>
      <c r="H1436" s="43"/>
      <c r="I1436" s="43"/>
      <c r="J1436" s="37"/>
      <c r="K1436" s="45"/>
    </row>
    <row r="1437" ht="15.0" customHeight="1">
      <c r="A1437" s="30" t="s">
        <v>1786</v>
      </c>
      <c r="B1437" s="31"/>
      <c r="C1437" s="32"/>
      <c r="D1437" s="33"/>
      <c r="E1437" s="34"/>
      <c r="F1437" s="35"/>
      <c r="G1437" s="36"/>
      <c r="H1437" s="43"/>
      <c r="I1437" s="43"/>
      <c r="J1437" s="37"/>
      <c r="K1437" s="45"/>
    </row>
    <row r="1438" ht="15.0" customHeight="1">
      <c r="A1438" s="39" t="s">
        <v>1787</v>
      </c>
      <c r="B1438" s="40" t="s">
        <v>1788</v>
      </c>
      <c r="C1438" s="41">
        <v>5.0</v>
      </c>
      <c r="D1438" s="33">
        <v>3.760295911203E12</v>
      </c>
      <c r="E1438" s="42">
        <v>2.95</v>
      </c>
      <c r="F1438" s="35">
        <v>14.75</v>
      </c>
      <c r="G1438" s="36">
        <v>1.0</v>
      </c>
      <c r="H1438" s="43">
        <f t="shared" ref="H1438:H1443" si="448">I1438/C1438</f>
        <v>3.15</v>
      </c>
      <c r="I1438" s="43">
        <f t="shared" ref="I1438:I1443" si="449">F1438+G1438</f>
        <v>15.75</v>
      </c>
      <c r="J1438" s="37"/>
      <c r="K1438" s="45">
        <f t="shared" ref="K1438:K1443" si="450">I1438*J1438</f>
        <v>0</v>
      </c>
    </row>
    <row r="1439" ht="15.0" customHeight="1">
      <c r="A1439" s="39" t="s">
        <v>1789</v>
      </c>
      <c r="B1439" s="40" t="s">
        <v>1788</v>
      </c>
      <c r="C1439" s="41">
        <v>5.0</v>
      </c>
      <c r="D1439" s="33">
        <v>3.760295911104E12</v>
      </c>
      <c r="E1439" s="42">
        <v>2.95</v>
      </c>
      <c r="F1439" s="35">
        <v>14.75</v>
      </c>
      <c r="G1439" s="36">
        <v>1.0</v>
      </c>
      <c r="H1439" s="43">
        <f t="shared" si="448"/>
        <v>3.15</v>
      </c>
      <c r="I1439" s="43">
        <f t="shared" si="449"/>
        <v>15.75</v>
      </c>
      <c r="J1439" s="37"/>
      <c r="K1439" s="45">
        <f t="shared" si="450"/>
        <v>0</v>
      </c>
    </row>
    <row r="1440" ht="15.0" customHeight="1">
      <c r="A1440" s="39" t="s">
        <v>1790</v>
      </c>
      <c r="B1440" s="40" t="s">
        <v>1788</v>
      </c>
      <c r="C1440" s="41">
        <v>5.0</v>
      </c>
      <c r="D1440" s="33">
        <v>3.760295911012E12</v>
      </c>
      <c r="E1440" s="42">
        <v>2.95</v>
      </c>
      <c r="F1440" s="35">
        <v>14.75</v>
      </c>
      <c r="G1440" s="36">
        <v>1.0</v>
      </c>
      <c r="H1440" s="43">
        <f t="shared" si="448"/>
        <v>3.15</v>
      </c>
      <c r="I1440" s="43">
        <f t="shared" si="449"/>
        <v>15.75</v>
      </c>
      <c r="J1440" s="37"/>
      <c r="K1440" s="45">
        <f t="shared" si="450"/>
        <v>0</v>
      </c>
    </row>
    <row r="1441" ht="15.0" customHeight="1">
      <c r="A1441" s="39" t="s">
        <v>1791</v>
      </c>
      <c r="B1441" s="40" t="s">
        <v>1792</v>
      </c>
      <c r="C1441" s="41">
        <v>5.0</v>
      </c>
      <c r="D1441" s="33">
        <v>3.760295911227E12</v>
      </c>
      <c r="E1441" s="42">
        <v>4.15</v>
      </c>
      <c r="F1441" s="35">
        <v>20.75</v>
      </c>
      <c r="G1441" s="36">
        <v>1.0</v>
      </c>
      <c r="H1441" s="43">
        <f t="shared" si="448"/>
        <v>4.35</v>
      </c>
      <c r="I1441" s="43">
        <f t="shared" si="449"/>
        <v>21.75</v>
      </c>
      <c r="J1441" s="37"/>
      <c r="K1441" s="45">
        <f t="shared" si="450"/>
        <v>0</v>
      </c>
    </row>
    <row r="1442" ht="15.0" customHeight="1">
      <c r="A1442" s="39" t="s">
        <v>1793</v>
      </c>
      <c r="B1442" s="40" t="s">
        <v>1792</v>
      </c>
      <c r="C1442" s="41">
        <v>5.0</v>
      </c>
      <c r="D1442" s="33">
        <v>3.760295911128E12</v>
      </c>
      <c r="E1442" s="42">
        <v>4.15</v>
      </c>
      <c r="F1442" s="35">
        <v>20.75</v>
      </c>
      <c r="G1442" s="36">
        <v>1.0</v>
      </c>
      <c r="H1442" s="43">
        <f t="shared" si="448"/>
        <v>4.35</v>
      </c>
      <c r="I1442" s="43">
        <f t="shared" si="449"/>
        <v>21.75</v>
      </c>
      <c r="J1442" s="37"/>
      <c r="K1442" s="45">
        <f t="shared" si="450"/>
        <v>0</v>
      </c>
    </row>
    <row r="1443" ht="15.0" customHeight="1">
      <c r="A1443" s="39" t="s">
        <v>1794</v>
      </c>
      <c r="B1443" s="40" t="s">
        <v>1788</v>
      </c>
      <c r="C1443" s="41">
        <v>5.0</v>
      </c>
      <c r="D1443" s="33">
        <v>3.760295910923E12</v>
      </c>
      <c r="E1443" s="42">
        <v>4.75</v>
      </c>
      <c r="F1443" s="35">
        <v>23.75</v>
      </c>
      <c r="G1443" s="36">
        <v>1.0</v>
      </c>
      <c r="H1443" s="43">
        <f t="shared" si="448"/>
        <v>4.95</v>
      </c>
      <c r="I1443" s="43">
        <f t="shared" si="449"/>
        <v>24.75</v>
      </c>
      <c r="J1443" s="37"/>
      <c r="K1443" s="45">
        <f t="shared" si="450"/>
        <v>0</v>
      </c>
    </row>
    <row r="1444" ht="15.0" customHeight="1">
      <c r="A1444" s="197" t="s">
        <v>1795</v>
      </c>
      <c r="B1444" s="140"/>
      <c r="C1444" s="141"/>
      <c r="D1444" s="33"/>
      <c r="E1444" s="34"/>
      <c r="F1444" s="35"/>
      <c r="G1444" s="36"/>
      <c r="H1444" s="43"/>
      <c r="I1444" s="43"/>
      <c r="J1444" s="37"/>
      <c r="K1444" s="45"/>
    </row>
    <row r="1445" ht="15.0" customHeight="1">
      <c r="A1445" s="39" t="s">
        <v>1796</v>
      </c>
      <c r="B1445" s="40" t="s">
        <v>1797</v>
      </c>
      <c r="C1445" s="41">
        <v>5.0</v>
      </c>
      <c r="D1445" s="33">
        <v>3.760295910374E12</v>
      </c>
      <c r="E1445" s="42">
        <v>4.75</v>
      </c>
      <c r="F1445" s="35">
        <v>23.75</v>
      </c>
      <c r="G1445" s="36">
        <v>1.0</v>
      </c>
      <c r="H1445" s="43">
        <f t="shared" ref="H1445:H1446" si="451">I1445/C1445</f>
        <v>4.95</v>
      </c>
      <c r="I1445" s="43">
        <f t="shared" ref="I1445:I1446" si="452">F1445+G1445</f>
        <v>24.75</v>
      </c>
      <c r="J1445" s="37"/>
      <c r="K1445" s="45">
        <f t="shared" ref="K1445:K1446" si="453">I1445*J1445</f>
        <v>0</v>
      </c>
    </row>
    <row r="1446" ht="15.0" customHeight="1">
      <c r="A1446" s="39" t="s">
        <v>1798</v>
      </c>
      <c r="B1446" s="40" t="s">
        <v>1797</v>
      </c>
      <c r="C1446" s="41">
        <v>5.0</v>
      </c>
      <c r="D1446" s="33">
        <v>3.760295910367E12</v>
      </c>
      <c r="E1446" s="42">
        <v>4.75</v>
      </c>
      <c r="F1446" s="35">
        <v>23.75</v>
      </c>
      <c r="G1446" s="36">
        <v>1.0</v>
      </c>
      <c r="H1446" s="43">
        <f t="shared" si="451"/>
        <v>4.95</v>
      </c>
      <c r="I1446" s="43">
        <f t="shared" si="452"/>
        <v>24.75</v>
      </c>
      <c r="J1446" s="37"/>
      <c r="K1446" s="45">
        <f t="shared" si="453"/>
        <v>0</v>
      </c>
    </row>
    <row r="1447" ht="15.0" customHeight="1">
      <c r="A1447" s="197" t="s">
        <v>1799</v>
      </c>
      <c r="B1447" s="140"/>
      <c r="C1447" s="141"/>
      <c r="D1447" s="33"/>
      <c r="E1447" s="34"/>
      <c r="F1447" s="35"/>
      <c r="G1447" s="36"/>
      <c r="H1447" s="43"/>
      <c r="I1447" s="43"/>
      <c r="J1447" s="37"/>
      <c r="K1447" s="45"/>
    </row>
    <row r="1448" ht="15.0" customHeight="1">
      <c r="A1448" s="39" t="s">
        <v>1800</v>
      </c>
      <c r="B1448" s="40" t="s">
        <v>1797</v>
      </c>
      <c r="C1448" s="41">
        <v>5.0</v>
      </c>
      <c r="D1448" s="33">
        <v>3.760295911111E12</v>
      </c>
      <c r="E1448" s="42">
        <v>3.65</v>
      </c>
      <c r="F1448" s="35">
        <v>18.25</v>
      </c>
      <c r="G1448" s="36">
        <v>1.0</v>
      </c>
      <c r="H1448" s="43">
        <f t="shared" ref="H1448:H1451" si="454">I1448/C1448</f>
        <v>3.85</v>
      </c>
      <c r="I1448" s="43">
        <f t="shared" ref="I1448:I1451" si="455">F1448+G1448</f>
        <v>19.25</v>
      </c>
      <c r="J1448" s="37"/>
      <c r="K1448" s="45">
        <f t="shared" ref="K1448:K1451" si="456">I1448*J1448</f>
        <v>0</v>
      </c>
    </row>
    <row r="1449" ht="15.0" customHeight="1">
      <c r="A1449" s="39" t="s">
        <v>1801</v>
      </c>
      <c r="B1449" s="40" t="s">
        <v>1797</v>
      </c>
      <c r="C1449" s="41">
        <v>5.0</v>
      </c>
      <c r="D1449" s="33">
        <v>3.760295911319E12</v>
      </c>
      <c r="E1449" s="42">
        <v>3.65</v>
      </c>
      <c r="F1449" s="35">
        <v>18.25</v>
      </c>
      <c r="G1449" s="36">
        <v>1.0</v>
      </c>
      <c r="H1449" s="43">
        <f t="shared" si="454"/>
        <v>3.85</v>
      </c>
      <c r="I1449" s="43">
        <f t="shared" si="455"/>
        <v>19.25</v>
      </c>
      <c r="J1449" s="37"/>
      <c r="K1449" s="45">
        <f t="shared" si="456"/>
        <v>0</v>
      </c>
    </row>
    <row r="1450" ht="15.0" customHeight="1">
      <c r="A1450" s="39" t="s">
        <v>1802</v>
      </c>
      <c r="B1450" s="40" t="s">
        <v>1797</v>
      </c>
      <c r="C1450" s="41">
        <v>5.0</v>
      </c>
      <c r="D1450" s="33">
        <v>3.76029591121E12</v>
      </c>
      <c r="E1450" s="42">
        <v>3.65</v>
      </c>
      <c r="F1450" s="35">
        <v>18.25</v>
      </c>
      <c r="G1450" s="36">
        <v>1.0</v>
      </c>
      <c r="H1450" s="43">
        <f t="shared" si="454"/>
        <v>3.85</v>
      </c>
      <c r="I1450" s="43">
        <f t="shared" si="455"/>
        <v>19.25</v>
      </c>
      <c r="J1450" s="37"/>
      <c r="K1450" s="45">
        <f t="shared" si="456"/>
        <v>0</v>
      </c>
    </row>
    <row r="1451" ht="15.0" customHeight="1">
      <c r="A1451" s="39" t="s">
        <v>1803</v>
      </c>
      <c r="B1451" s="40" t="s">
        <v>1788</v>
      </c>
      <c r="C1451" s="41">
        <v>5.0</v>
      </c>
      <c r="D1451" s="33">
        <v>3.760295911401E12</v>
      </c>
      <c r="E1451" s="42">
        <v>3.65</v>
      </c>
      <c r="F1451" s="35">
        <v>18.25</v>
      </c>
      <c r="G1451" s="36">
        <v>1.0</v>
      </c>
      <c r="H1451" s="43">
        <f t="shared" si="454"/>
        <v>3.85</v>
      </c>
      <c r="I1451" s="43">
        <f t="shared" si="455"/>
        <v>19.25</v>
      </c>
      <c r="J1451" s="37"/>
      <c r="K1451" s="45">
        <f t="shared" si="456"/>
        <v>0</v>
      </c>
    </row>
    <row r="1452" ht="15.0" customHeight="1">
      <c r="A1452" s="30" t="s">
        <v>1804</v>
      </c>
      <c r="B1452" s="31"/>
      <c r="C1452" s="32"/>
      <c r="D1452" s="33"/>
      <c r="E1452" s="34"/>
      <c r="F1452" s="35"/>
      <c r="G1452" s="36"/>
      <c r="H1452" s="43"/>
      <c r="I1452" s="43"/>
      <c r="J1452" s="37"/>
      <c r="K1452" s="45"/>
    </row>
    <row r="1453" ht="15.0" customHeight="1">
      <c r="A1453" s="39" t="s">
        <v>1805</v>
      </c>
      <c r="B1453" s="31"/>
      <c r="C1453" s="41">
        <v>5.0</v>
      </c>
      <c r="D1453" s="33">
        <v>3.760295912002E12</v>
      </c>
      <c r="E1453" s="42">
        <v>4.95</v>
      </c>
      <c r="F1453" s="35">
        <v>24.75</v>
      </c>
      <c r="G1453" s="36">
        <v>1.0</v>
      </c>
      <c r="H1453" s="43">
        <f t="shared" ref="H1453:H1456" si="457">I1453/C1453</f>
        <v>5.15</v>
      </c>
      <c r="I1453" s="43">
        <f t="shared" ref="I1453:I1456" si="458">F1453+G1453</f>
        <v>25.75</v>
      </c>
      <c r="J1453" s="37"/>
      <c r="K1453" s="45">
        <f t="shared" ref="K1453:K1456" si="459">I1453*J1453</f>
        <v>0</v>
      </c>
    </row>
    <row r="1454" ht="15.0" customHeight="1">
      <c r="A1454" s="39" t="s">
        <v>1806</v>
      </c>
      <c r="B1454" s="31"/>
      <c r="C1454" s="41">
        <v>5.0</v>
      </c>
      <c r="D1454" s="33">
        <v>3.760295910541E12</v>
      </c>
      <c r="E1454" s="42">
        <v>6.5</v>
      </c>
      <c r="F1454" s="35">
        <v>32.5</v>
      </c>
      <c r="G1454" s="36">
        <v>1.0</v>
      </c>
      <c r="H1454" s="43">
        <f t="shared" si="457"/>
        <v>6.7</v>
      </c>
      <c r="I1454" s="43">
        <f t="shared" si="458"/>
        <v>33.5</v>
      </c>
      <c r="J1454" s="37"/>
      <c r="K1454" s="45">
        <f t="shared" si="459"/>
        <v>0</v>
      </c>
    </row>
    <row r="1455" ht="15.0" customHeight="1">
      <c r="A1455" s="39" t="s">
        <v>1807</v>
      </c>
      <c r="B1455" s="31"/>
      <c r="C1455" s="41">
        <v>5.0</v>
      </c>
      <c r="D1455" s="33">
        <v>3.760295910978E12</v>
      </c>
      <c r="E1455" s="42">
        <v>6.5</v>
      </c>
      <c r="F1455" s="35">
        <v>32.5</v>
      </c>
      <c r="G1455" s="36">
        <v>1.0</v>
      </c>
      <c r="H1455" s="43">
        <f t="shared" si="457"/>
        <v>6.7</v>
      </c>
      <c r="I1455" s="43">
        <f t="shared" si="458"/>
        <v>33.5</v>
      </c>
      <c r="J1455" s="37"/>
      <c r="K1455" s="45">
        <f t="shared" si="459"/>
        <v>0</v>
      </c>
    </row>
    <row r="1456" ht="15.0" customHeight="1">
      <c r="A1456" s="39" t="s">
        <v>1808</v>
      </c>
      <c r="B1456" s="31"/>
      <c r="C1456" s="41">
        <v>1.0</v>
      </c>
      <c r="D1456" s="33">
        <v>3.760295911425E12</v>
      </c>
      <c r="E1456" s="42">
        <v>19.9</v>
      </c>
      <c r="F1456" s="35">
        <v>19.9</v>
      </c>
      <c r="G1456" s="36">
        <v>1.0</v>
      </c>
      <c r="H1456" s="43">
        <f t="shared" si="457"/>
        <v>20.9</v>
      </c>
      <c r="I1456" s="43">
        <f t="shared" si="458"/>
        <v>20.9</v>
      </c>
      <c r="J1456" s="37"/>
      <c r="K1456" s="45">
        <f t="shared" si="459"/>
        <v>0</v>
      </c>
    </row>
    <row r="1457" ht="15.0" customHeight="1">
      <c r="A1457" s="30" t="s">
        <v>1809</v>
      </c>
      <c r="B1457" s="31"/>
      <c r="C1457" s="32"/>
      <c r="D1457" s="33"/>
      <c r="E1457" s="34"/>
      <c r="F1457" s="35"/>
      <c r="G1457" s="36"/>
      <c r="H1457" s="43"/>
      <c r="I1457" s="43"/>
      <c r="J1457" s="37"/>
      <c r="K1457" s="45"/>
    </row>
    <row r="1458" ht="15.0" customHeight="1">
      <c r="A1458" s="39" t="s">
        <v>1810</v>
      </c>
      <c r="B1458" s="31"/>
      <c r="C1458" s="41">
        <v>5.0</v>
      </c>
      <c r="D1458" s="33">
        <v>3.760295910381E12</v>
      </c>
      <c r="E1458" s="42">
        <v>5.5</v>
      </c>
      <c r="F1458" s="35">
        <v>27.5</v>
      </c>
      <c r="G1458" s="36">
        <v>1.0</v>
      </c>
      <c r="H1458" s="43">
        <f t="shared" ref="H1458:H1461" si="460">I1458/C1458</f>
        <v>5.7</v>
      </c>
      <c r="I1458" s="43">
        <f t="shared" ref="I1458:I1461" si="461">F1458+G1458</f>
        <v>28.5</v>
      </c>
      <c r="J1458" s="37"/>
      <c r="K1458" s="45">
        <f t="shared" ref="K1458:K1461" si="462">I1458*J1458</f>
        <v>0</v>
      </c>
    </row>
    <row r="1459" ht="15.0" customHeight="1">
      <c r="A1459" s="39" t="s">
        <v>1811</v>
      </c>
      <c r="B1459" s="31"/>
      <c r="C1459" s="41">
        <v>5.0</v>
      </c>
      <c r="D1459" s="33">
        <v>3.760295910152E12</v>
      </c>
      <c r="E1459" s="42">
        <v>5.45</v>
      </c>
      <c r="F1459" s="35">
        <v>27.25</v>
      </c>
      <c r="G1459" s="36">
        <v>1.0</v>
      </c>
      <c r="H1459" s="43">
        <f t="shared" si="460"/>
        <v>5.65</v>
      </c>
      <c r="I1459" s="43">
        <f t="shared" si="461"/>
        <v>28.25</v>
      </c>
      <c r="J1459" s="37"/>
      <c r="K1459" s="45">
        <f t="shared" si="462"/>
        <v>0</v>
      </c>
    </row>
    <row r="1460" ht="15.0" customHeight="1">
      <c r="A1460" s="39" t="s">
        <v>1812</v>
      </c>
      <c r="B1460" s="31"/>
      <c r="C1460" s="41">
        <v>5.0</v>
      </c>
      <c r="D1460" s="33">
        <v>3.760295910985E12</v>
      </c>
      <c r="E1460" s="42">
        <v>2.85</v>
      </c>
      <c r="F1460" s="35">
        <v>14.25</v>
      </c>
      <c r="G1460" s="36">
        <v>1.0</v>
      </c>
      <c r="H1460" s="43">
        <f t="shared" si="460"/>
        <v>3.05</v>
      </c>
      <c r="I1460" s="43">
        <f t="shared" si="461"/>
        <v>15.25</v>
      </c>
      <c r="J1460" s="37"/>
      <c r="K1460" s="45">
        <f t="shared" si="462"/>
        <v>0</v>
      </c>
    </row>
    <row r="1461" ht="15.0" customHeight="1">
      <c r="A1461" s="39" t="s">
        <v>1813</v>
      </c>
      <c r="B1461" s="31"/>
      <c r="C1461" s="41">
        <v>20.0</v>
      </c>
      <c r="D1461" s="33">
        <v>3.760295910794E12</v>
      </c>
      <c r="E1461" s="42">
        <v>2.15</v>
      </c>
      <c r="F1461" s="35">
        <v>43.0</v>
      </c>
      <c r="G1461" s="36">
        <v>1.0</v>
      </c>
      <c r="H1461" s="43">
        <f t="shared" si="460"/>
        <v>2.2</v>
      </c>
      <c r="I1461" s="43">
        <f t="shared" si="461"/>
        <v>44</v>
      </c>
      <c r="J1461" s="37"/>
      <c r="K1461" s="45">
        <f t="shared" si="462"/>
        <v>0</v>
      </c>
    </row>
    <row r="1462" ht="15.0" customHeight="1">
      <c r="A1462" s="30" t="s">
        <v>1814</v>
      </c>
      <c r="B1462" s="31"/>
      <c r="C1462" s="32"/>
      <c r="D1462" s="33"/>
      <c r="E1462" s="34"/>
      <c r="F1462" s="35"/>
      <c r="G1462" s="36"/>
      <c r="H1462" s="43"/>
      <c r="I1462" s="43"/>
      <c r="J1462" s="37"/>
      <c r="K1462" s="45"/>
    </row>
    <row r="1463" ht="15.0" customHeight="1">
      <c r="A1463" s="39" t="s">
        <v>1815</v>
      </c>
      <c r="B1463" s="31"/>
      <c r="C1463" s="41">
        <v>1.0</v>
      </c>
      <c r="D1463" s="33">
        <v>3.760295911043E12</v>
      </c>
      <c r="E1463" s="42">
        <v>12.9</v>
      </c>
      <c r="F1463" s="35">
        <v>12.9</v>
      </c>
      <c r="G1463" s="36">
        <v>3.0</v>
      </c>
      <c r="H1463" s="43">
        <f t="shared" ref="H1463:H1465" si="463">I1463/C1463</f>
        <v>15.9</v>
      </c>
      <c r="I1463" s="43">
        <f t="shared" ref="I1463:I1465" si="464">F1463+G1463</f>
        <v>15.9</v>
      </c>
      <c r="J1463" s="37"/>
      <c r="K1463" s="45">
        <f t="shared" ref="K1463:K1465" si="465">I1463*J1463</f>
        <v>0</v>
      </c>
    </row>
    <row r="1464" ht="15.0" customHeight="1">
      <c r="A1464" s="39" t="s">
        <v>1816</v>
      </c>
      <c r="B1464" s="31"/>
      <c r="C1464" s="41">
        <v>1.0</v>
      </c>
      <c r="D1464" s="33">
        <v>3.760266161637E12</v>
      </c>
      <c r="E1464" s="42">
        <v>14.9</v>
      </c>
      <c r="F1464" s="35">
        <v>14.9</v>
      </c>
      <c r="G1464" s="36">
        <v>3.0</v>
      </c>
      <c r="H1464" s="43">
        <f t="shared" si="463"/>
        <v>17.9</v>
      </c>
      <c r="I1464" s="43">
        <f t="shared" si="464"/>
        <v>17.9</v>
      </c>
      <c r="J1464" s="37"/>
      <c r="K1464" s="45">
        <f t="shared" si="465"/>
        <v>0</v>
      </c>
    </row>
    <row r="1465" ht="15.0" customHeight="1">
      <c r="A1465" s="39" t="s">
        <v>1817</v>
      </c>
      <c r="B1465" s="140"/>
      <c r="C1465" s="41">
        <v>1.0</v>
      </c>
      <c r="D1465" s="33">
        <v>3.54416556375E12</v>
      </c>
      <c r="E1465" s="42">
        <v>14.9</v>
      </c>
      <c r="F1465" s="35">
        <v>14.9</v>
      </c>
      <c r="G1465" s="36">
        <v>3.0</v>
      </c>
      <c r="H1465" s="43">
        <f t="shared" si="463"/>
        <v>17.9</v>
      </c>
      <c r="I1465" s="43">
        <f t="shared" si="464"/>
        <v>17.9</v>
      </c>
      <c r="J1465" s="37"/>
      <c r="K1465" s="45">
        <f t="shared" si="465"/>
        <v>0</v>
      </c>
    </row>
    <row r="1466" ht="15.0" customHeight="1">
      <c r="A1466" s="30" t="s">
        <v>1818</v>
      </c>
      <c r="B1466" s="31"/>
      <c r="C1466" s="32"/>
      <c r="D1466" s="33"/>
      <c r="E1466" s="34"/>
      <c r="F1466" s="35"/>
      <c r="G1466" s="36"/>
      <c r="H1466" s="43"/>
      <c r="I1466" s="43"/>
      <c r="J1466" s="37"/>
      <c r="K1466" s="45"/>
    </row>
    <row r="1467" ht="15.0" customHeight="1">
      <c r="A1467" s="39" t="s">
        <v>1819</v>
      </c>
      <c r="B1467" s="31"/>
      <c r="C1467" s="41">
        <v>1.0</v>
      </c>
      <c r="D1467" s="33">
        <v>3.76029591432E11</v>
      </c>
      <c r="E1467" s="42">
        <v>20.9</v>
      </c>
      <c r="F1467" s="35">
        <v>20.9</v>
      </c>
      <c r="G1467" s="36">
        <v>1.0</v>
      </c>
      <c r="H1467" s="43">
        <f>I1467/C1467</f>
        <v>21.9</v>
      </c>
      <c r="I1467" s="43">
        <f>F1467+G1467</f>
        <v>21.9</v>
      </c>
      <c r="J1467" s="37"/>
      <c r="K1467" s="45">
        <f>I1467*J1467</f>
        <v>0</v>
      </c>
    </row>
    <row r="1468" ht="15.0" customHeight="1">
      <c r="A1468" s="30" t="s">
        <v>1820</v>
      </c>
      <c r="B1468" s="31"/>
      <c r="C1468" s="32"/>
      <c r="D1468" s="33"/>
      <c r="E1468" s="34"/>
      <c r="F1468" s="35"/>
      <c r="G1468" s="36"/>
      <c r="H1468" s="43"/>
      <c r="I1468" s="43"/>
      <c r="J1468" s="37"/>
      <c r="K1468" s="45"/>
    </row>
    <row r="1469" ht="15.0" customHeight="1">
      <c r="A1469" s="39" t="s">
        <v>1821</v>
      </c>
      <c r="B1469" s="31"/>
      <c r="C1469" s="41">
        <v>5.0</v>
      </c>
      <c r="D1469" s="33">
        <v>3.76029591051E12</v>
      </c>
      <c r="E1469" s="42">
        <v>3.95</v>
      </c>
      <c r="F1469" s="35">
        <v>19.75</v>
      </c>
      <c r="G1469" s="36">
        <v>1.0</v>
      </c>
      <c r="H1469" s="43">
        <f t="shared" ref="H1469:H1471" si="466">I1469/C1469</f>
        <v>4.15</v>
      </c>
      <c r="I1469" s="43">
        <f t="shared" ref="I1469:I1471" si="467">F1469+G1469</f>
        <v>20.75</v>
      </c>
      <c r="J1469" s="37"/>
      <c r="K1469" s="45">
        <f t="shared" ref="K1469:K1471" si="468">I1469*J1469</f>
        <v>0</v>
      </c>
    </row>
    <row r="1470" ht="15.0" customHeight="1">
      <c r="A1470" s="39" t="s">
        <v>1822</v>
      </c>
      <c r="B1470" s="31"/>
      <c r="C1470" s="41">
        <v>5.0</v>
      </c>
      <c r="D1470" s="33">
        <v>3.760295910404E12</v>
      </c>
      <c r="E1470" s="42">
        <v>5.55</v>
      </c>
      <c r="F1470" s="35">
        <v>27.75</v>
      </c>
      <c r="G1470" s="36">
        <v>1.0</v>
      </c>
      <c r="H1470" s="43">
        <f t="shared" si="466"/>
        <v>5.75</v>
      </c>
      <c r="I1470" s="43">
        <f t="shared" si="467"/>
        <v>28.75</v>
      </c>
      <c r="J1470" s="37"/>
      <c r="K1470" s="45">
        <f t="shared" si="468"/>
        <v>0</v>
      </c>
    </row>
    <row r="1471" ht="15.0" customHeight="1">
      <c r="A1471" s="39" t="s">
        <v>1823</v>
      </c>
      <c r="B1471" s="31"/>
      <c r="C1471" s="41">
        <v>5.0</v>
      </c>
      <c r="D1471" s="33" t="s">
        <v>1824</v>
      </c>
      <c r="E1471" s="42">
        <v>5.55</v>
      </c>
      <c r="F1471" s="35">
        <v>27.75</v>
      </c>
      <c r="G1471" s="36">
        <v>1.0</v>
      </c>
      <c r="H1471" s="43">
        <f t="shared" si="466"/>
        <v>5.75</v>
      </c>
      <c r="I1471" s="43">
        <f t="shared" si="467"/>
        <v>28.75</v>
      </c>
      <c r="J1471" s="37"/>
      <c r="K1471" s="45">
        <f t="shared" si="468"/>
        <v>0</v>
      </c>
    </row>
    <row r="1472" ht="15.0" customHeight="1">
      <c r="A1472" s="30" t="s">
        <v>1825</v>
      </c>
      <c r="B1472" s="31"/>
      <c r="C1472" s="32"/>
      <c r="D1472" s="33"/>
      <c r="E1472" s="34"/>
      <c r="F1472" s="35"/>
      <c r="G1472" s="36"/>
      <c r="H1472" s="43"/>
      <c r="I1472" s="43"/>
      <c r="J1472" s="37"/>
      <c r="K1472" s="45"/>
    </row>
    <row r="1473" ht="15.0" customHeight="1">
      <c r="A1473" s="39" t="s">
        <v>1826</v>
      </c>
      <c r="B1473" s="31"/>
      <c r="C1473" s="41">
        <v>1.0</v>
      </c>
      <c r="D1473" s="33">
        <v>3.7602959108E12</v>
      </c>
      <c r="E1473" s="42">
        <v>19.99</v>
      </c>
      <c r="F1473" s="35">
        <v>19.99</v>
      </c>
      <c r="G1473" s="36">
        <v>1.0</v>
      </c>
      <c r="H1473" s="43">
        <f t="shared" ref="H1473:H1474" si="469">I1473/C1473</f>
        <v>20.99</v>
      </c>
      <c r="I1473" s="43">
        <f t="shared" ref="I1473:I1474" si="470">F1473+G1473</f>
        <v>20.99</v>
      </c>
      <c r="J1473" s="37"/>
      <c r="K1473" s="45">
        <f t="shared" ref="K1473:K1474" si="471">I1473*J1473</f>
        <v>0</v>
      </c>
    </row>
    <row r="1474" ht="15.0" customHeight="1">
      <c r="A1474" s="39" t="s">
        <v>1827</v>
      </c>
      <c r="B1474" s="31"/>
      <c r="C1474" s="41">
        <v>1.0</v>
      </c>
      <c r="D1474" s="33">
        <v>3.760295910442E12</v>
      </c>
      <c r="E1474" s="42">
        <v>29.9</v>
      </c>
      <c r="F1474" s="35">
        <v>29.9</v>
      </c>
      <c r="G1474" s="36">
        <v>1.0</v>
      </c>
      <c r="H1474" s="43">
        <f t="shared" si="469"/>
        <v>30.9</v>
      </c>
      <c r="I1474" s="43">
        <f t="shared" si="470"/>
        <v>30.9</v>
      </c>
      <c r="J1474" s="37"/>
      <c r="K1474" s="45">
        <f t="shared" si="471"/>
        <v>0</v>
      </c>
    </row>
    <row r="1475" ht="15.0" customHeight="1">
      <c r="A1475" s="30" t="s">
        <v>1828</v>
      </c>
      <c r="B1475" s="31"/>
      <c r="C1475" s="32"/>
      <c r="D1475" s="33"/>
      <c r="E1475" s="34"/>
      <c r="F1475" s="35"/>
      <c r="G1475" s="36"/>
      <c r="H1475" s="43"/>
      <c r="I1475" s="43"/>
      <c r="J1475" s="37"/>
      <c r="K1475" s="45"/>
    </row>
    <row r="1476" ht="15.0" customHeight="1">
      <c r="A1476" s="39" t="s">
        <v>1829</v>
      </c>
      <c r="B1476" s="31"/>
      <c r="C1476" s="41">
        <v>5.0</v>
      </c>
      <c r="D1476" s="33">
        <v>3.760295911531E12</v>
      </c>
      <c r="E1476" s="42">
        <v>3.95</v>
      </c>
      <c r="F1476" s="35">
        <v>19.75</v>
      </c>
      <c r="G1476" s="36">
        <v>1.0</v>
      </c>
      <c r="H1476" s="43">
        <f t="shared" ref="H1476:H1479" si="472">I1476/C1476</f>
        <v>4.15</v>
      </c>
      <c r="I1476" s="43">
        <f t="shared" ref="I1476:I1479" si="473">F1476+G1476</f>
        <v>20.75</v>
      </c>
      <c r="J1476" s="37"/>
      <c r="K1476" s="45">
        <f t="shared" ref="K1476:K1479" si="474">I1476*J1476</f>
        <v>0</v>
      </c>
    </row>
    <row r="1477" ht="15.0" customHeight="1">
      <c r="A1477" s="39" t="s">
        <v>1830</v>
      </c>
      <c r="B1477" s="31"/>
      <c r="C1477" s="41">
        <v>5.0</v>
      </c>
      <c r="D1477" s="33">
        <v>3.760295911647E12</v>
      </c>
      <c r="E1477" s="42">
        <v>5.45</v>
      </c>
      <c r="F1477" s="35">
        <v>27.25</v>
      </c>
      <c r="G1477" s="36">
        <v>1.0</v>
      </c>
      <c r="H1477" s="43">
        <f t="shared" si="472"/>
        <v>5.65</v>
      </c>
      <c r="I1477" s="43">
        <f t="shared" si="473"/>
        <v>28.25</v>
      </c>
      <c r="J1477" s="37"/>
      <c r="K1477" s="45">
        <f t="shared" si="474"/>
        <v>0</v>
      </c>
    </row>
    <row r="1478" ht="15.0" customHeight="1">
      <c r="A1478" s="39" t="s">
        <v>1831</v>
      </c>
      <c r="B1478" s="31"/>
      <c r="C1478" s="41">
        <v>5.0</v>
      </c>
      <c r="D1478" s="33">
        <v>3.76029591163E12</v>
      </c>
      <c r="E1478" s="42">
        <v>5.45</v>
      </c>
      <c r="F1478" s="35">
        <v>27.25</v>
      </c>
      <c r="G1478" s="36">
        <v>1.0</v>
      </c>
      <c r="H1478" s="43">
        <f t="shared" si="472"/>
        <v>5.65</v>
      </c>
      <c r="I1478" s="43">
        <f t="shared" si="473"/>
        <v>28.25</v>
      </c>
      <c r="J1478" s="37"/>
      <c r="K1478" s="45">
        <f t="shared" si="474"/>
        <v>0</v>
      </c>
    </row>
    <row r="1479" ht="15.0" customHeight="1">
      <c r="A1479" s="39" t="s">
        <v>1832</v>
      </c>
      <c r="B1479" s="31"/>
      <c r="C1479" s="41">
        <v>5.0</v>
      </c>
      <c r="D1479" s="33">
        <v>3.76029591077E12</v>
      </c>
      <c r="E1479" s="42">
        <v>5.25</v>
      </c>
      <c r="F1479" s="35">
        <v>26.25</v>
      </c>
      <c r="G1479" s="36">
        <v>1.0</v>
      </c>
      <c r="H1479" s="43">
        <f t="shared" si="472"/>
        <v>5.45</v>
      </c>
      <c r="I1479" s="43">
        <f t="shared" si="473"/>
        <v>27.25</v>
      </c>
      <c r="J1479" s="37"/>
      <c r="K1479" s="45">
        <f t="shared" si="474"/>
        <v>0</v>
      </c>
    </row>
    <row r="1480" ht="15.0" customHeight="1">
      <c r="A1480" s="30" t="s">
        <v>1833</v>
      </c>
      <c r="B1480" s="31"/>
      <c r="C1480" s="32"/>
      <c r="D1480" s="33"/>
      <c r="E1480" s="34"/>
      <c r="F1480" s="35"/>
      <c r="G1480" s="36"/>
      <c r="H1480" s="43"/>
      <c r="I1480" s="43"/>
      <c r="J1480" s="37"/>
      <c r="K1480" s="45"/>
    </row>
    <row r="1481" ht="15.0" customHeight="1">
      <c r="A1481" s="39" t="s">
        <v>1834</v>
      </c>
      <c r="B1481" s="31"/>
      <c r="C1481" s="41">
        <v>5.0</v>
      </c>
      <c r="D1481" s="33">
        <v>3.760295910916E12</v>
      </c>
      <c r="E1481" s="42">
        <v>1.9</v>
      </c>
      <c r="F1481" s="35">
        <v>9.5</v>
      </c>
      <c r="G1481" s="36">
        <v>1.0</v>
      </c>
      <c r="H1481" s="43">
        <f t="shared" ref="H1481:H1482" si="475">I1481/C1481</f>
        <v>2.1</v>
      </c>
      <c r="I1481" s="43">
        <f t="shared" ref="I1481:I1482" si="476">F1481+G1481</f>
        <v>10.5</v>
      </c>
      <c r="J1481" s="37"/>
      <c r="K1481" s="45">
        <f t="shared" ref="K1481:K1482" si="477">I1481*J1481</f>
        <v>0</v>
      </c>
    </row>
    <row r="1482" ht="15.0" customHeight="1">
      <c r="A1482" s="39" t="s">
        <v>1835</v>
      </c>
      <c r="B1482" s="31"/>
      <c r="C1482" s="41">
        <v>1.0</v>
      </c>
      <c r="D1482" s="33">
        <v>3.760295910893E12</v>
      </c>
      <c r="E1482" s="42">
        <v>9.9</v>
      </c>
      <c r="F1482" s="35">
        <v>9.9</v>
      </c>
      <c r="G1482" s="36">
        <v>1.0</v>
      </c>
      <c r="H1482" s="43">
        <f t="shared" si="475"/>
        <v>10.9</v>
      </c>
      <c r="I1482" s="43">
        <f t="shared" si="476"/>
        <v>10.9</v>
      </c>
      <c r="J1482" s="37"/>
      <c r="K1482" s="45">
        <f t="shared" si="477"/>
        <v>0</v>
      </c>
    </row>
    <row r="1483" ht="15.0" customHeight="1">
      <c r="A1483" s="30" t="s">
        <v>1836</v>
      </c>
      <c r="B1483" s="31"/>
      <c r="C1483" s="32"/>
      <c r="D1483" s="33"/>
      <c r="E1483" s="34"/>
      <c r="F1483" s="35"/>
      <c r="G1483" s="36"/>
      <c r="H1483" s="43"/>
      <c r="I1483" s="43"/>
      <c r="J1483" s="37"/>
      <c r="K1483" s="45"/>
    </row>
    <row r="1484" ht="15.0" customHeight="1">
      <c r="A1484" s="39" t="s">
        <v>1837</v>
      </c>
      <c r="B1484" s="31"/>
      <c r="C1484" s="41">
        <v>10.0</v>
      </c>
      <c r="D1484" s="33">
        <v>3.701705600706E12</v>
      </c>
      <c r="E1484" s="42">
        <v>8.9</v>
      </c>
      <c r="F1484" s="35">
        <v>89.0</v>
      </c>
      <c r="G1484" s="36">
        <v>10.0</v>
      </c>
      <c r="H1484" s="43">
        <f t="shared" ref="H1484:H1493" si="478">I1484/C1484</f>
        <v>9.9</v>
      </c>
      <c r="I1484" s="43">
        <f t="shared" ref="I1484:I1493" si="479">F1484+G1484</f>
        <v>99</v>
      </c>
      <c r="J1484" s="37"/>
      <c r="K1484" s="45">
        <f t="shared" ref="K1484:K1493" si="480">I1484*J1484</f>
        <v>0</v>
      </c>
    </row>
    <row r="1485" ht="15.0" customHeight="1">
      <c r="A1485" s="39" t="s">
        <v>1838</v>
      </c>
      <c r="B1485" s="31"/>
      <c r="C1485" s="41">
        <v>10.0</v>
      </c>
      <c r="D1485" s="33">
        <v>3.701705600683E12</v>
      </c>
      <c r="E1485" s="42">
        <v>8.9</v>
      </c>
      <c r="F1485" s="35">
        <v>89.0</v>
      </c>
      <c r="G1485" s="36">
        <v>10.0</v>
      </c>
      <c r="H1485" s="43">
        <f t="shared" si="478"/>
        <v>9.9</v>
      </c>
      <c r="I1485" s="43">
        <f t="shared" si="479"/>
        <v>99</v>
      </c>
      <c r="J1485" s="37"/>
      <c r="K1485" s="45">
        <f t="shared" si="480"/>
        <v>0</v>
      </c>
    </row>
    <row r="1486" ht="15.0" customHeight="1">
      <c r="A1486" s="39" t="s">
        <v>1839</v>
      </c>
      <c r="B1486" s="31"/>
      <c r="C1486" s="41">
        <v>10.0</v>
      </c>
      <c r="D1486" s="33">
        <v>3.701705600669E12</v>
      </c>
      <c r="E1486" s="42">
        <v>8.9</v>
      </c>
      <c r="F1486" s="35">
        <v>89.0</v>
      </c>
      <c r="G1486" s="36">
        <v>10.0</v>
      </c>
      <c r="H1486" s="43">
        <f t="shared" si="478"/>
        <v>9.9</v>
      </c>
      <c r="I1486" s="43">
        <f t="shared" si="479"/>
        <v>99</v>
      </c>
      <c r="J1486" s="37"/>
      <c r="K1486" s="45">
        <f t="shared" si="480"/>
        <v>0</v>
      </c>
    </row>
    <row r="1487" ht="15.0" customHeight="1">
      <c r="A1487" s="39" t="s">
        <v>1840</v>
      </c>
      <c r="B1487" s="31"/>
      <c r="C1487" s="41">
        <v>10.0</v>
      </c>
      <c r="D1487" s="33">
        <v>3.701705600645E12</v>
      </c>
      <c r="E1487" s="42">
        <v>8.9</v>
      </c>
      <c r="F1487" s="35">
        <v>89.0</v>
      </c>
      <c r="G1487" s="36">
        <v>10.0</v>
      </c>
      <c r="H1487" s="43">
        <f t="shared" si="478"/>
        <v>9.9</v>
      </c>
      <c r="I1487" s="43">
        <f t="shared" si="479"/>
        <v>99</v>
      </c>
      <c r="J1487" s="37"/>
      <c r="K1487" s="45">
        <f t="shared" si="480"/>
        <v>0</v>
      </c>
    </row>
    <row r="1488" ht="15.0" customHeight="1">
      <c r="A1488" s="39" t="s">
        <v>1841</v>
      </c>
      <c r="B1488" s="31"/>
      <c r="C1488" s="41">
        <v>10.0</v>
      </c>
      <c r="D1488" s="33">
        <v>3.701705600621E12</v>
      </c>
      <c r="E1488" s="42">
        <v>8.9</v>
      </c>
      <c r="F1488" s="35">
        <v>89.0</v>
      </c>
      <c r="G1488" s="36">
        <v>10.0</v>
      </c>
      <c r="H1488" s="43">
        <f t="shared" si="478"/>
        <v>9.9</v>
      </c>
      <c r="I1488" s="43">
        <f t="shared" si="479"/>
        <v>99</v>
      </c>
      <c r="J1488" s="37"/>
      <c r="K1488" s="45">
        <f t="shared" si="480"/>
        <v>0</v>
      </c>
    </row>
    <row r="1489" ht="15.0" customHeight="1">
      <c r="A1489" s="39" t="s">
        <v>1842</v>
      </c>
      <c r="B1489" s="31"/>
      <c r="C1489" s="41">
        <v>10.0</v>
      </c>
      <c r="D1489" s="33">
        <v>3.701705600607E12</v>
      </c>
      <c r="E1489" s="42">
        <v>8.9</v>
      </c>
      <c r="F1489" s="35">
        <v>89.0</v>
      </c>
      <c r="G1489" s="36">
        <v>10.0</v>
      </c>
      <c r="H1489" s="43">
        <f t="shared" si="478"/>
        <v>9.9</v>
      </c>
      <c r="I1489" s="43">
        <f t="shared" si="479"/>
        <v>99</v>
      </c>
      <c r="J1489" s="37"/>
      <c r="K1489" s="45">
        <f t="shared" si="480"/>
        <v>0</v>
      </c>
    </row>
    <row r="1490" ht="15.0" customHeight="1">
      <c r="A1490" s="39" t="s">
        <v>1843</v>
      </c>
      <c r="B1490" s="31"/>
      <c r="C1490" s="41">
        <v>10.0</v>
      </c>
      <c r="D1490" s="33">
        <v>3.701705601802E12</v>
      </c>
      <c r="E1490" s="42">
        <v>8.9</v>
      </c>
      <c r="F1490" s="35">
        <v>89.0</v>
      </c>
      <c r="G1490" s="36">
        <v>10.0</v>
      </c>
      <c r="H1490" s="43">
        <f t="shared" si="478"/>
        <v>9.9</v>
      </c>
      <c r="I1490" s="43">
        <f t="shared" si="479"/>
        <v>99</v>
      </c>
      <c r="J1490" s="37"/>
      <c r="K1490" s="45">
        <f t="shared" si="480"/>
        <v>0</v>
      </c>
    </row>
    <row r="1491" ht="15.0" customHeight="1">
      <c r="A1491" s="39" t="s">
        <v>1844</v>
      </c>
      <c r="B1491" s="31"/>
      <c r="C1491" s="41">
        <v>10.0</v>
      </c>
      <c r="D1491" s="33">
        <v>3.70170560056E12</v>
      </c>
      <c r="E1491" s="42">
        <v>8.9</v>
      </c>
      <c r="F1491" s="35">
        <v>89.0</v>
      </c>
      <c r="G1491" s="36">
        <v>10.0</v>
      </c>
      <c r="H1491" s="43">
        <f t="shared" si="478"/>
        <v>9.9</v>
      </c>
      <c r="I1491" s="43">
        <f t="shared" si="479"/>
        <v>99</v>
      </c>
      <c r="J1491" s="37"/>
      <c r="K1491" s="45">
        <f t="shared" si="480"/>
        <v>0</v>
      </c>
    </row>
    <row r="1492" ht="15.0" customHeight="1">
      <c r="A1492" s="39" t="s">
        <v>1845</v>
      </c>
      <c r="B1492" s="31"/>
      <c r="C1492" s="41">
        <v>10.0</v>
      </c>
      <c r="D1492" s="33">
        <v>3.701705600546E12</v>
      </c>
      <c r="E1492" s="42">
        <v>8.9</v>
      </c>
      <c r="F1492" s="35">
        <v>89.0</v>
      </c>
      <c r="G1492" s="36">
        <v>10.0</v>
      </c>
      <c r="H1492" s="43">
        <f t="shared" si="478"/>
        <v>9.9</v>
      </c>
      <c r="I1492" s="43">
        <f t="shared" si="479"/>
        <v>99</v>
      </c>
      <c r="J1492" s="37"/>
      <c r="K1492" s="45">
        <f t="shared" si="480"/>
        <v>0</v>
      </c>
    </row>
    <row r="1493" ht="15.0" customHeight="1">
      <c r="A1493" s="48" t="s">
        <v>1846</v>
      </c>
      <c r="B1493" s="31"/>
      <c r="C1493" s="41">
        <v>10.0</v>
      </c>
      <c r="D1493" s="33">
        <v>3.701705600522E12</v>
      </c>
      <c r="E1493" s="42">
        <v>8.9</v>
      </c>
      <c r="F1493" s="35">
        <v>89.0</v>
      </c>
      <c r="G1493" s="36">
        <v>10.0</v>
      </c>
      <c r="H1493" s="43">
        <f t="shared" si="478"/>
        <v>9.9</v>
      </c>
      <c r="I1493" s="43">
        <f t="shared" si="479"/>
        <v>99</v>
      </c>
      <c r="J1493" s="37"/>
      <c r="K1493" s="45">
        <f t="shared" si="480"/>
        <v>0</v>
      </c>
    </row>
    <row r="1494" ht="15.0" customHeight="1">
      <c r="A1494" s="198" t="s">
        <v>1847</v>
      </c>
      <c r="B1494" s="106"/>
      <c r="C1494" s="107"/>
      <c r="D1494" s="108"/>
      <c r="E1494" s="34"/>
      <c r="F1494" s="35"/>
      <c r="G1494" s="36"/>
      <c r="H1494" s="43"/>
      <c r="I1494" s="43"/>
      <c r="J1494" s="37"/>
      <c r="K1494" s="45"/>
    </row>
    <row r="1495" ht="15.0" customHeight="1">
      <c r="A1495" s="199" t="s">
        <v>1848</v>
      </c>
      <c r="B1495" s="200"/>
      <c r="C1495" s="41">
        <v>5.0</v>
      </c>
      <c r="D1495" s="113">
        <v>6.977704950723E12</v>
      </c>
      <c r="E1495" s="56">
        <v>10.9</v>
      </c>
      <c r="F1495" s="74">
        <f t="shared" ref="F1495:F1504" si="481">C1495*E1495</f>
        <v>54.5</v>
      </c>
      <c r="G1495" s="36">
        <v>5.0</v>
      </c>
      <c r="H1495" s="43">
        <f t="shared" ref="H1495:H1504" si="482">I1495/C1495</f>
        <v>11.9</v>
      </c>
      <c r="I1495" s="43">
        <f t="shared" ref="I1495:I1504" si="483">F1495+G1495</f>
        <v>59.5</v>
      </c>
      <c r="J1495" s="37"/>
      <c r="K1495" s="45">
        <f t="shared" ref="K1495:K1504" si="484">I1495*J1495</f>
        <v>0</v>
      </c>
    </row>
    <row r="1496" ht="15.0" customHeight="1">
      <c r="A1496" s="109" t="s">
        <v>1849</v>
      </c>
      <c r="B1496" s="200"/>
      <c r="C1496" s="58">
        <v>5.0</v>
      </c>
      <c r="D1496" s="113" t="s">
        <v>1850</v>
      </c>
      <c r="E1496" s="56">
        <v>10.9</v>
      </c>
      <c r="F1496" s="74">
        <f t="shared" si="481"/>
        <v>54.5</v>
      </c>
      <c r="G1496" s="36">
        <v>5.0</v>
      </c>
      <c r="H1496" s="43">
        <f t="shared" si="482"/>
        <v>11.9</v>
      </c>
      <c r="I1496" s="43">
        <f t="shared" si="483"/>
        <v>59.5</v>
      </c>
      <c r="J1496" s="37"/>
      <c r="K1496" s="45">
        <f t="shared" si="484"/>
        <v>0</v>
      </c>
    </row>
    <row r="1497" ht="15.0" customHeight="1">
      <c r="A1497" s="109" t="s">
        <v>1851</v>
      </c>
      <c r="B1497" s="200"/>
      <c r="C1497" s="58">
        <v>5.0</v>
      </c>
      <c r="D1497" s="113" t="s">
        <v>1852</v>
      </c>
      <c r="E1497" s="56">
        <v>10.9</v>
      </c>
      <c r="F1497" s="74">
        <f t="shared" si="481"/>
        <v>54.5</v>
      </c>
      <c r="G1497" s="36">
        <v>5.0</v>
      </c>
      <c r="H1497" s="43">
        <f t="shared" si="482"/>
        <v>11.9</v>
      </c>
      <c r="I1497" s="43">
        <f t="shared" si="483"/>
        <v>59.5</v>
      </c>
      <c r="J1497" s="37"/>
      <c r="K1497" s="45">
        <f t="shared" si="484"/>
        <v>0</v>
      </c>
    </row>
    <row r="1498" ht="15.0" customHeight="1">
      <c r="A1498" s="109" t="s">
        <v>1853</v>
      </c>
      <c r="B1498" s="200"/>
      <c r="C1498" s="58">
        <v>5.0</v>
      </c>
      <c r="D1498" s="115" t="s">
        <v>1854</v>
      </c>
      <c r="E1498" s="56">
        <v>10.9</v>
      </c>
      <c r="F1498" s="74">
        <f t="shared" si="481"/>
        <v>54.5</v>
      </c>
      <c r="G1498" s="36">
        <v>5.0</v>
      </c>
      <c r="H1498" s="43">
        <f t="shared" si="482"/>
        <v>11.9</v>
      </c>
      <c r="I1498" s="43">
        <f t="shared" si="483"/>
        <v>59.5</v>
      </c>
      <c r="J1498" s="37"/>
      <c r="K1498" s="45">
        <f t="shared" si="484"/>
        <v>0</v>
      </c>
    </row>
    <row r="1499" ht="15.0" customHeight="1">
      <c r="A1499" s="109" t="s">
        <v>1855</v>
      </c>
      <c r="B1499" s="200"/>
      <c r="C1499" s="58">
        <v>5.0</v>
      </c>
      <c r="D1499" s="115" t="s">
        <v>1856</v>
      </c>
      <c r="E1499" s="56">
        <v>10.9</v>
      </c>
      <c r="F1499" s="74">
        <f t="shared" si="481"/>
        <v>54.5</v>
      </c>
      <c r="G1499" s="36">
        <v>5.0</v>
      </c>
      <c r="H1499" s="43">
        <f t="shared" si="482"/>
        <v>11.9</v>
      </c>
      <c r="I1499" s="43">
        <f t="shared" si="483"/>
        <v>59.5</v>
      </c>
      <c r="J1499" s="37"/>
      <c r="K1499" s="45">
        <f t="shared" si="484"/>
        <v>0</v>
      </c>
    </row>
    <row r="1500" ht="15.0" customHeight="1">
      <c r="A1500" s="199" t="s">
        <v>1857</v>
      </c>
      <c r="B1500" s="200"/>
      <c r="C1500" s="58">
        <v>5.0</v>
      </c>
      <c r="D1500" s="115">
        <v>6.977704950716E12</v>
      </c>
      <c r="E1500" s="56">
        <v>10.9</v>
      </c>
      <c r="F1500" s="74">
        <f t="shared" si="481"/>
        <v>54.5</v>
      </c>
      <c r="G1500" s="36">
        <v>5.0</v>
      </c>
      <c r="H1500" s="43">
        <f t="shared" si="482"/>
        <v>11.9</v>
      </c>
      <c r="I1500" s="43">
        <f t="shared" si="483"/>
        <v>59.5</v>
      </c>
      <c r="J1500" s="37"/>
      <c r="K1500" s="45">
        <f t="shared" si="484"/>
        <v>0</v>
      </c>
    </row>
    <row r="1501" ht="15.0" customHeight="1">
      <c r="A1501" s="199" t="s">
        <v>1858</v>
      </c>
      <c r="B1501" s="200"/>
      <c r="C1501" s="58">
        <v>5.0</v>
      </c>
      <c r="D1501" s="115">
        <v>6.97770495073E12</v>
      </c>
      <c r="E1501" s="56">
        <v>10.9</v>
      </c>
      <c r="F1501" s="74">
        <f t="shared" si="481"/>
        <v>54.5</v>
      </c>
      <c r="G1501" s="36">
        <v>5.0</v>
      </c>
      <c r="H1501" s="43">
        <f t="shared" si="482"/>
        <v>11.9</v>
      </c>
      <c r="I1501" s="43">
        <f t="shared" si="483"/>
        <v>59.5</v>
      </c>
      <c r="J1501" s="37"/>
      <c r="K1501" s="45">
        <f t="shared" si="484"/>
        <v>0</v>
      </c>
    </row>
    <row r="1502" ht="15.0" customHeight="1">
      <c r="A1502" s="109" t="s">
        <v>1859</v>
      </c>
      <c r="B1502" s="200"/>
      <c r="C1502" s="58">
        <v>5.0</v>
      </c>
      <c r="D1502" s="115" t="s">
        <v>1860</v>
      </c>
      <c r="E1502" s="56">
        <v>10.9</v>
      </c>
      <c r="F1502" s="74">
        <f t="shared" si="481"/>
        <v>54.5</v>
      </c>
      <c r="G1502" s="36">
        <v>5.0</v>
      </c>
      <c r="H1502" s="43">
        <f t="shared" si="482"/>
        <v>11.9</v>
      </c>
      <c r="I1502" s="43">
        <f t="shared" si="483"/>
        <v>59.5</v>
      </c>
      <c r="J1502" s="37"/>
      <c r="K1502" s="45">
        <f t="shared" si="484"/>
        <v>0</v>
      </c>
    </row>
    <row r="1503" ht="15.0" customHeight="1">
      <c r="A1503" s="109" t="s">
        <v>1845</v>
      </c>
      <c r="B1503" s="200"/>
      <c r="C1503" s="58">
        <v>5.0</v>
      </c>
      <c r="D1503" s="113" t="s">
        <v>1861</v>
      </c>
      <c r="E1503" s="56">
        <v>10.9</v>
      </c>
      <c r="F1503" s="74">
        <f t="shared" si="481"/>
        <v>54.5</v>
      </c>
      <c r="G1503" s="36">
        <v>5.0</v>
      </c>
      <c r="H1503" s="43">
        <f t="shared" si="482"/>
        <v>11.9</v>
      </c>
      <c r="I1503" s="43">
        <f t="shared" si="483"/>
        <v>59.5</v>
      </c>
      <c r="J1503" s="37"/>
      <c r="K1503" s="45">
        <f t="shared" si="484"/>
        <v>0</v>
      </c>
    </row>
    <row r="1504" ht="15.0" customHeight="1">
      <c r="A1504" s="109" t="s">
        <v>1862</v>
      </c>
      <c r="B1504" s="200"/>
      <c r="C1504" s="40">
        <v>5.0</v>
      </c>
      <c r="D1504" s="113">
        <v>6.977704950853E12</v>
      </c>
      <c r="E1504" s="56">
        <v>10.9</v>
      </c>
      <c r="F1504" s="74">
        <f t="shared" si="481"/>
        <v>54.5</v>
      </c>
      <c r="G1504" s="36">
        <v>5.0</v>
      </c>
      <c r="H1504" s="43">
        <f t="shared" si="482"/>
        <v>11.9</v>
      </c>
      <c r="I1504" s="43">
        <f t="shared" si="483"/>
        <v>59.5</v>
      </c>
      <c r="J1504" s="37"/>
      <c r="K1504" s="45">
        <f t="shared" si="484"/>
        <v>0</v>
      </c>
    </row>
    <row r="1505" ht="15.0" customHeight="1">
      <c r="A1505" s="201" t="s">
        <v>1863</v>
      </c>
      <c r="B1505" s="106"/>
      <c r="C1505" s="107"/>
      <c r="D1505" s="108"/>
      <c r="E1505" s="34"/>
      <c r="F1505" s="35"/>
      <c r="G1505" s="36"/>
      <c r="H1505" s="43"/>
      <c r="I1505" s="43"/>
      <c r="J1505" s="37"/>
      <c r="K1505" s="45"/>
    </row>
    <row r="1506" ht="15.0" customHeight="1">
      <c r="A1506" s="49" t="s">
        <v>1864</v>
      </c>
      <c r="B1506" s="31"/>
      <c r="C1506" s="32"/>
      <c r="D1506" s="33"/>
      <c r="E1506" s="34"/>
      <c r="F1506" s="35"/>
      <c r="G1506" s="36"/>
      <c r="H1506" s="43"/>
      <c r="I1506" s="43"/>
      <c r="J1506" s="37"/>
      <c r="K1506" s="45"/>
    </row>
    <row r="1507" ht="15.0" customHeight="1">
      <c r="A1507" s="48" t="s">
        <v>1865</v>
      </c>
      <c r="B1507" s="40" t="s">
        <v>1866</v>
      </c>
      <c r="C1507" s="41">
        <v>10.0</v>
      </c>
      <c r="D1507" s="33">
        <v>9.501281137443E12</v>
      </c>
      <c r="E1507" s="42">
        <v>6.0</v>
      </c>
      <c r="F1507" s="35">
        <v>60.0</v>
      </c>
      <c r="G1507" s="36">
        <v>1.0</v>
      </c>
      <c r="H1507" s="43">
        <f t="shared" ref="H1507:H1515" si="485">I1507/C1507</f>
        <v>6.1</v>
      </c>
      <c r="I1507" s="43">
        <f t="shared" ref="I1507:I1515" si="486">F1507+G1507</f>
        <v>61</v>
      </c>
      <c r="J1507" s="37"/>
      <c r="K1507" s="45">
        <f t="shared" ref="K1507:K1520" si="487">I1507*J1507</f>
        <v>0</v>
      </c>
    </row>
    <row r="1508" ht="15.0" customHeight="1">
      <c r="A1508" s="48" t="s">
        <v>1867</v>
      </c>
      <c r="B1508" s="40" t="s">
        <v>1868</v>
      </c>
      <c r="C1508" s="41">
        <v>10.0</v>
      </c>
      <c r="D1508" s="33">
        <v>9.502291465366E12</v>
      </c>
      <c r="E1508" s="42">
        <v>12.0</v>
      </c>
      <c r="F1508" s="35">
        <v>120.0</v>
      </c>
      <c r="G1508" s="36">
        <v>1.0</v>
      </c>
      <c r="H1508" s="43">
        <f t="shared" si="485"/>
        <v>12.1</v>
      </c>
      <c r="I1508" s="43">
        <f t="shared" si="486"/>
        <v>121</v>
      </c>
      <c r="J1508" s="37"/>
      <c r="K1508" s="45">
        <f t="shared" si="487"/>
        <v>0</v>
      </c>
    </row>
    <row r="1509" ht="15.0" customHeight="1">
      <c r="A1509" s="48" t="s">
        <v>1869</v>
      </c>
      <c r="B1509" s="40" t="s">
        <v>1628</v>
      </c>
      <c r="C1509" s="41">
        <v>10.0</v>
      </c>
      <c r="D1509" s="33">
        <v>9.502697524728E12</v>
      </c>
      <c r="E1509" s="42">
        <v>20.0</v>
      </c>
      <c r="F1509" s="35">
        <v>200.0</v>
      </c>
      <c r="G1509" s="36">
        <v>1.0</v>
      </c>
      <c r="H1509" s="43">
        <f t="shared" si="485"/>
        <v>20.1</v>
      </c>
      <c r="I1509" s="43">
        <f t="shared" si="486"/>
        <v>201</v>
      </c>
      <c r="J1509" s="37"/>
      <c r="K1509" s="45">
        <f t="shared" si="487"/>
        <v>0</v>
      </c>
    </row>
    <row r="1510" ht="15.0" customHeight="1">
      <c r="A1510" s="48" t="s">
        <v>1870</v>
      </c>
      <c r="B1510" s="40" t="s">
        <v>1868</v>
      </c>
      <c r="C1510" s="41">
        <v>10.0</v>
      </c>
      <c r="D1510" s="33">
        <v>9.503491481279E12</v>
      </c>
      <c r="E1510" s="42">
        <v>6.0</v>
      </c>
      <c r="F1510" s="35">
        <v>60.0</v>
      </c>
      <c r="G1510" s="36">
        <v>1.0</v>
      </c>
      <c r="H1510" s="43">
        <f t="shared" si="485"/>
        <v>6.1</v>
      </c>
      <c r="I1510" s="43">
        <f t="shared" si="486"/>
        <v>61</v>
      </c>
      <c r="J1510" s="37"/>
      <c r="K1510" s="45">
        <f t="shared" si="487"/>
        <v>0</v>
      </c>
    </row>
    <row r="1511" ht="15.0" customHeight="1">
      <c r="A1511" s="48" t="s">
        <v>1871</v>
      </c>
      <c r="B1511" s="40" t="s">
        <v>1628</v>
      </c>
      <c r="C1511" s="41">
        <v>10.0</v>
      </c>
      <c r="D1511" s="33">
        <v>9.503788676142E12</v>
      </c>
      <c r="E1511" s="42">
        <v>9.0</v>
      </c>
      <c r="F1511" s="35">
        <v>90.0</v>
      </c>
      <c r="G1511" s="36">
        <v>1.0</v>
      </c>
      <c r="H1511" s="43">
        <f t="shared" si="485"/>
        <v>9.1</v>
      </c>
      <c r="I1511" s="43">
        <f t="shared" si="486"/>
        <v>91</v>
      </c>
      <c r="J1511" s="37"/>
      <c r="K1511" s="45">
        <f t="shared" si="487"/>
        <v>0</v>
      </c>
    </row>
    <row r="1512" ht="15.0" customHeight="1">
      <c r="A1512" s="48" t="s">
        <v>1872</v>
      </c>
      <c r="B1512" s="40" t="s">
        <v>1345</v>
      </c>
      <c r="C1512" s="41">
        <v>5.0</v>
      </c>
      <c r="D1512" s="33">
        <v>9.504619134152E12</v>
      </c>
      <c r="E1512" s="42">
        <v>13.0</v>
      </c>
      <c r="F1512" s="35">
        <v>65.0</v>
      </c>
      <c r="G1512" s="36">
        <v>1.0</v>
      </c>
      <c r="H1512" s="43">
        <f t="shared" si="485"/>
        <v>13.2</v>
      </c>
      <c r="I1512" s="43">
        <f t="shared" si="486"/>
        <v>66</v>
      </c>
      <c r="J1512" s="37"/>
      <c r="K1512" s="45">
        <f t="shared" si="487"/>
        <v>0</v>
      </c>
    </row>
    <row r="1513" ht="15.0" customHeight="1">
      <c r="A1513" s="48" t="s">
        <v>1873</v>
      </c>
      <c r="B1513" s="40" t="s">
        <v>1874</v>
      </c>
      <c r="C1513" s="41">
        <v>1000.0</v>
      </c>
      <c r="D1513" s="33">
        <v>9.505143739196E12</v>
      </c>
      <c r="E1513" s="42">
        <v>0.55</v>
      </c>
      <c r="F1513" s="35">
        <v>550.0</v>
      </c>
      <c r="G1513" s="36">
        <v>0.0</v>
      </c>
      <c r="H1513" s="43">
        <f t="shared" si="485"/>
        <v>0.55</v>
      </c>
      <c r="I1513" s="43">
        <f t="shared" si="486"/>
        <v>550</v>
      </c>
      <c r="J1513" s="37"/>
      <c r="K1513" s="45">
        <f t="shared" si="487"/>
        <v>0</v>
      </c>
    </row>
    <row r="1514" ht="15.0" customHeight="1">
      <c r="A1514" s="48" t="s">
        <v>1875</v>
      </c>
      <c r="B1514" s="40" t="s">
        <v>1874</v>
      </c>
      <c r="C1514" s="41">
        <v>2000.0</v>
      </c>
      <c r="D1514" s="33">
        <v>9.505716117956E12</v>
      </c>
      <c r="E1514" s="42">
        <v>0.5</v>
      </c>
      <c r="F1514" s="35">
        <v>1000.0</v>
      </c>
      <c r="G1514" s="36">
        <v>0.0</v>
      </c>
      <c r="H1514" s="43">
        <f t="shared" si="485"/>
        <v>0.5</v>
      </c>
      <c r="I1514" s="43">
        <f t="shared" si="486"/>
        <v>1000</v>
      </c>
      <c r="J1514" s="37"/>
      <c r="K1514" s="45">
        <f t="shared" si="487"/>
        <v>0</v>
      </c>
    </row>
    <row r="1515" ht="15.0" customHeight="1">
      <c r="A1515" s="48" t="s">
        <v>1876</v>
      </c>
      <c r="B1515" s="40" t="s">
        <v>1874</v>
      </c>
      <c r="C1515" s="41">
        <v>5000.0</v>
      </c>
      <c r="D1515" s="33">
        <v>9.506127444273E12</v>
      </c>
      <c r="E1515" s="42">
        <v>0.45</v>
      </c>
      <c r="F1515" s="35">
        <v>2250.0</v>
      </c>
      <c r="G1515" s="36">
        <v>0.0</v>
      </c>
      <c r="H1515" s="43">
        <f t="shared" si="485"/>
        <v>0.45</v>
      </c>
      <c r="I1515" s="43">
        <f t="shared" si="486"/>
        <v>2250</v>
      </c>
      <c r="J1515" s="37"/>
      <c r="K1515" s="45">
        <f t="shared" si="487"/>
        <v>0</v>
      </c>
    </row>
    <row r="1516" ht="15.0" customHeight="1">
      <c r="A1516" s="49" t="s">
        <v>1877</v>
      </c>
      <c r="B1516" s="31"/>
      <c r="C1516" s="32"/>
      <c r="D1516" s="33"/>
      <c r="E1516" s="34"/>
      <c r="F1516" s="35"/>
      <c r="G1516" s="36"/>
      <c r="H1516" s="43"/>
      <c r="I1516" s="43"/>
      <c r="J1516" s="37"/>
      <c r="K1516" s="45">
        <f t="shared" si="487"/>
        <v>0</v>
      </c>
    </row>
    <row r="1517" ht="15.0" customHeight="1">
      <c r="A1517" s="48" t="s">
        <v>1878</v>
      </c>
      <c r="B1517" s="40" t="s">
        <v>1874</v>
      </c>
      <c r="C1517" s="41">
        <v>55.0</v>
      </c>
      <c r="D1517" s="33">
        <v>3.76019602475E12</v>
      </c>
      <c r="E1517" s="42">
        <v>1.65</v>
      </c>
      <c r="F1517" s="35">
        <v>90.75</v>
      </c>
      <c r="G1517" s="36">
        <v>10.0</v>
      </c>
      <c r="H1517" s="43">
        <f t="shared" ref="H1517:H1520" si="488">I1517/C1517</f>
        <v>1.831818182</v>
      </c>
      <c r="I1517" s="43">
        <f t="shared" ref="I1517:I1520" si="489">F1517+G1517</f>
        <v>100.75</v>
      </c>
      <c r="J1517" s="37"/>
      <c r="K1517" s="45">
        <f t="shared" si="487"/>
        <v>0</v>
      </c>
    </row>
    <row r="1518" ht="15.0" customHeight="1">
      <c r="A1518" s="48" t="s">
        <v>1879</v>
      </c>
      <c r="B1518" s="40" t="s">
        <v>1880</v>
      </c>
      <c r="C1518" s="41">
        <v>55.0</v>
      </c>
      <c r="D1518" s="51" t="s">
        <v>1881</v>
      </c>
      <c r="E1518" s="42">
        <v>1.85</v>
      </c>
      <c r="F1518" s="35">
        <v>101.75</v>
      </c>
      <c r="G1518" s="36">
        <v>10.0</v>
      </c>
      <c r="H1518" s="43">
        <f t="shared" si="488"/>
        <v>2.031818182</v>
      </c>
      <c r="I1518" s="43">
        <f t="shared" si="489"/>
        <v>111.75</v>
      </c>
      <c r="J1518" s="44"/>
      <c r="K1518" s="45">
        <f t="shared" si="487"/>
        <v>0</v>
      </c>
    </row>
    <row r="1519" ht="15.0" customHeight="1">
      <c r="A1519" s="39" t="s">
        <v>1882</v>
      </c>
      <c r="B1519" s="40" t="s">
        <v>1874</v>
      </c>
      <c r="C1519" s="41">
        <v>55.0</v>
      </c>
      <c r="D1519" s="33">
        <v>3.760196024996E12</v>
      </c>
      <c r="E1519" s="42">
        <v>1.75</v>
      </c>
      <c r="F1519" s="35">
        <v>96.25</v>
      </c>
      <c r="G1519" s="36">
        <v>10.0</v>
      </c>
      <c r="H1519" s="43">
        <f t="shared" si="488"/>
        <v>1.931818182</v>
      </c>
      <c r="I1519" s="43">
        <f t="shared" si="489"/>
        <v>106.25</v>
      </c>
      <c r="J1519" s="37"/>
      <c r="K1519" s="45">
        <f t="shared" si="487"/>
        <v>0</v>
      </c>
    </row>
    <row r="1520" ht="15.0" customHeight="1">
      <c r="A1520" s="39" t="s">
        <v>1883</v>
      </c>
      <c r="B1520" s="40" t="s">
        <v>1884</v>
      </c>
      <c r="C1520" s="41">
        <v>10.0</v>
      </c>
      <c r="D1520" s="134">
        <v>3.130852402374E12</v>
      </c>
      <c r="E1520" s="202">
        <v>4.95</v>
      </c>
      <c r="F1520" s="203">
        <v>49.5</v>
      </c>
      <c r="G1520" s="204">
        <v>10.0</v>
      </c>
      <c r="H1520" s="43">
        <f t="shared" si="488"/>
        <v>5.95</v>
      </c>
      <c r="I1520" s="43">
        <f t="shared" si="489"/>
        <v>59.5</v>
      </c>
      <c r="J1520" s="37"/>
      <c r="K1520" s="45">
        <f t="shared" si="487"/>
        <v>0</v>
      </c>
    </row>
    <row r="1521" ht="15.0" customHeight="1">
      <c r="A1521" s="12"/>
      <c r="D1521" s="205" t="s">
        <v>1885</v>
      </c>
      <c r="E1521" s="206"/>
      <c r="F1521" s="207"/>
      <c r="G1521" s="208"/>
      <c r="H1521" s="209"/>
      <c r="I1521" s="209"/>
      <c r="J1521" s="210">
        <f t="shared" ref="J1521:K1521" si="490">SUM(J6:J1520)</f>
        <v>0</v>
      </c>
      <c r="K1521" s="211">
        <f t="shared" si="490"/>
        <v>0</v>
      </c>
      <c r="L1521" s="212" t="s">
        <v>12</v>
      </c>
    </row>
    <row r="1522" ht="15.75" customHeight="1">
      <c r="A1522" s="12"/>
      <c r="D1522" s="213" t="s">
        <v>1886</v>
      </c>
      <c r="E1522" s="214"/>
      <c r="F1522" s="214"/>
      <c r="G1522" s="215">
        <f t="array" ref="G1522">SUMPRODUCT(IF(ISNUMBER(J2:J1520), G2:G1520*J2:J1520, 0))</f>
        <v>0</v>
      </c>
      <c r="J1522" s="216"/>
    </row>
    <row r="1523" ht="15.75" customHeight="1">
      <c r="A1523" s="12"/>
      <c r="D1523" s="217"/>
      <c r="G1523" s="11"/>
      <c r="J1523" s="216"/>
    </row>
    <row r="1524" ht="15.75" customHeight="1">
      <c r="A1524" s="12"/>
      <c r="D1524" s="217"/>
      <c r="G1524" s="11"/>
      <c r="J1524" s="216"/>
    </row>
    <row r="1525" ht="15.75" customHeight="1">
      <c r="A1525" s="12"/>
      <c r="D1525" s="217"/>
      <c r="G1525" s="11"/>
      <c r="J1525" s="216"/>
    </row>
    <row r="1526" ht="15.75" customHeight="1">
      <c r="A1526" s="12"/>
      <c r="D1526" s="217"/>
      <c r="G1526" s="11"/>
      <c r="J1526" s="216"/>
    </row>
    <row r="1527" ht="15.75" customHeight="1">
      <c r="A1527" s="12"/>
      <c r="D1527" s="217"/>
      <c r="G1527" s="11"/>
      <c r="J1527" s="216"/>
    </row>
    <row r="1528" ht="15.75" customHeight="1">
      <c r="A1528" s="12"/>
      <c r="D1528" s="217"/>
      <c r="G1528" s="11"/>
      <c r="J1528" s="216"/>
    </row>
    <row r="1529" ht="15.75" customHeight="1">
      <c r="A1529" s="12"/>
      <c r="D1529" s="217"/>
      <c r="G1529" s="11"/>
      <c r="J1529" s="216"/>
    </row>
    <row r="1530" ht="15.75" customHeight="1">
      <c r="A1530" s="12"/>
      <c r="D1530" s="217"/>
      <c r="G1530" s="11"/>
      <c r="J1530" s="216"/>
    </row>
    <row r="1531" ht="15.75" customHeight="1">
      <c r="A1531" s="12"/>
      <c r="D1531" s="217"/>
      <c r="G1531" s="11"/>
      <c r="J1531" s="216"/>
    </row>
    <row r="1532" ht="15.75" customHeight="1">
      <c r="A1532" s="12"/>
      <c r="D1532" s="217"/>
      <c r="G1532" s="11"/>
      <c r="J1532" s="216"/>
    </row>
    <row r="1533" ht="15.75" customHeight="1">
      <c r="A1533" s="12"/>
      <c r="D1533" s="217"/>
      <c r="G1533" s="11"/>
      <c r="J1533" s="216"/>
    </row>
    <row r="1534" ht="15.75" customHeight="1">
      <c r="A1534" s="12"/>
      <c r="D1534" s="217"/>
      <c r="G1534" s="11"/>
      <c r="J1534" s="216"/>
    </row>
    <row r="1535" ht="15.75" customHeight="1">
      <c r="A1535" s="12"/>
      <c r="D1535" s="217"/>
      <c r="G1535" s="11"/>
      <c r="J1535" s="216"/>
    </row>
    <row r="1536" ht="15.75" customHeight="1">
      <c r="A1536" s="12"/>
      <c r="D1536" s="217"/>
      <c r="G1536" s="11"/>
      <c r="J1536" s="216"/>
    </row>
    <row r="1537" ht="15.75" customHeight="1">
      <c r="A1537" s="12"/>
      <c r="D1537" s="217"/>
      <c r="G1537" s="11"/>
      <c r="J1537" s="216"/>
    </row>
    <row r="1538" ht="15.75" customHeight="1">
      <c r="A1538" s="12"/>
      <c r="D1538" s="217"/>
      <c r="G1538" s="11"/>
      <c r="J1538" s="216"/>
    </row>
    <row r="1539" ht="15.75" customHeight="1">
      <c r="A1539" s="12"/>
      <c r="D1539" s="217"/>
      <c r="G1539" s="11"/>
      <c r="J1539" s="216"/>
    </row>
    <row r="1540" ht="15.75" customHeight="1">
      <c r="A1540" s="12"/>
      <c r="D1540" s="217"/>
      <c r="G1540" s="11"/>
      <c r="J1540" s="216"/>
    </row>
    <row r="1541" ht="15.75" customHeight="1">
      <c r="A1541" s="12"/>
      <c r="D1541" s="217"/>
      <c r="G1541" s="11"/>
      <c r="J1541" s="216"/>
    </row>
    <row r="1542" ht="15.75" customHeight="1">
      <c r="A1542" s="12"/>
      <c r="D1542" s="217"/>
      <c r="G1542" s="11"/>
      <c r="J1542" s="216"/>
    </row>
    <row r="1543" ht="15.75" customHeight="1">
      <c r="A1543" s="12"/>
      <c r="D1543" s="217"/>
      <c r="G1543" s="11"/>
      <c r="J1543" s="216"/>
    </row>
    <row r="1544" ht="15.75" customHeight="1">
      <c r="A1544" s="12"/>
      <c r="D1544" s="217"/>
      <c r="G1544" s="11"/>
      <c r="J1544" s="216"/>
    </row>
    <row r="1545" ht="15.75" customHeight="1">
      <c r="A1545" s="12"/>
      <c r="D1545" s="217"/>
      <c r="G1545" s="11"/>
      <c r="J1545" s="216"/>
    </row>
    <row r="1546" ht="15.75" customHeight="1">
      <c r="A1546" s="12"/>
      <c r="D1546" s="217"/>
      <c r="G1546" s="11"/>
      <c r="J1546" s="216"/>
    </row>
    <row r="1547" ht="15.75" customHeight="1">
      <c r="A1547" s="12"/>
      <c r="D1547" s="217"/>
      <c r="G1547" s="11"/>
      <c r="J1547" s="216"/>
    </row>
    <row r="1548" ht="15.75" customHeight="1">
      <c r="A1548" s="12"/>
      <c r="D1548" s="217"/>
      <c r="G1548" s="11"/>
      <c r="J1548" s="216"/>
    </row>
    <row r="1549" ht="15.75" customHeight="1">
      <c r="A1549" s="12"/>
      <c r="D1549" s="217"/>
      <c r="G1549" s="11"/>
      <c r="J1549" s="216"/>
    </row>
    <row r="1550" ht="15.75" customHeight="1">
      <c r="A1550" s="12"/>
      <c r="D1550" s="217"/>
      <c r="G1550" s="11"/>
      <c r="J1550" s="216"/>
    </row>
    <row r="1551" ht="15.75" customHeight="1">
      <c r="A1551" s="12"/>
      <c r="D1551" s="217"/>
      <c r="G1551" s="11"/>
      <c r="J1551" s="216"/>
    </row>
    <row r="1552" ht="15.75" customHeight="1">
      <c r="A1552" s="12"/>
      <c r="D1552" s="217"/>
      <c r="G1552" s="11"/>
      <c r="J1552" s="216"/>
    </row>
    <row r="1553" ht="15.75" customHeight="1">
      <c r="A1553" s="12"/>
      <c r="D1553" s="217"/>
      <c r="G1553" s="11"/>
      <c r="J1553" s="216"/>
    </row>
    <row r="1554" ht="15.75" customHeight="1">
      <c r="A1554" s="12"/>
      <c r="D1554" s="217"/>
      <c r="G1554" s="11"/>
      <c r="J1554" s="216"/>
    </row>
    <row r="1555" ht="15.75" customHeight="1">
      <c r="A1555" s="12"/>
      <c r="D1555" s="217"/>
      <c r="G1555" s="11"/>
      <c r="J1555" s="216"/>
    </row>
    <row r="1556" ht="15.75" customHeight="1">
      <c r="A1556" s="12"/>
      <c r="D1556" s="217"/>
      <c r="G1556" s="11"/>
      <c r="J1556" s="216"/>
    </row>
    <row r="1557" ht="15.75" customHeight="1">
      <c r="A1557" s="12"/>
      <c r="D1557" s="217"/>
      <c r="G1557" s="11"/>
      <c r="J1557" s="216"/>
    </row>
    <row r="1558" ht="15.75" customHeight="1">
      <c r="A1558" s="12"/>
      <c r="D1558" s="217"/>
      <c r="G1558" s="11"/>
      <c r="J1558" s="216"/>
    </row>
    <row r="1559" ht="15.75" customHeight="1">
      <c r="A1559" s="12"/>
      <c r="D1559" s="217"/>
      <c r="G1559" s="11"/>
      <c r="J1559" s="216"/>
    </row>
    <row r="1560" ht="15.75" customHeight="1">
      <c r="A1560" s="12"/>
      <c r="D1560" s="217"/>
      <c r="G1560" s="11"/>
      <c r="J1560" s="216"/>
    </row>
    <row r="1561" ht="15.75" customHeight="1">
      <c r="A1561" s="12"/>
      <c r="D1561" s="217"/>
      <c r="G1561" s="11"/>
      <c r="J1561" s="216"/>
    </row>
    <row r="1562" ht="15.75" customHeight="1">
      <c r="A1562" s="12"/>
      <c r="D1562" s="217"/>
      <c r="G1562" s="11"/>
      <c r="J1562" s="216"/>
    </row>
    <row r="1563" ht="15.75" customHeight="1">
      <c r="A1563" s="12"/>
      <c r="D1563" s="217"/>
      <c r="G1563" s="11"/>
      <c r="J1563" s="216"/>
    </row>
    <row r="1564" ht="15.75" customHeight="1">
      <c r="A1564" s="12"/>
      <c r="D1564" s="217"/>
      <c r="G1564" s="11"/>
      <c r="J1564" s="216"/>
    </row>
    <row r="1565" ht="15.75" customHeight="1">
      <c r="A1565" s="12"/>
      <c r="D1565" s="217"/>
      <c r="G1565" s="11"/>
      <c r="J1565" s="216"/>
    </row>
    <row r="1566" ht="15.75" customHeight="1">
      <c r="A1566" s="12"/>
      <c r="D1566" s="217"/>
      <c r="G1566" s="11"/>
      <c r="J1566" s="216"/>
    </row>
    <row r="1567" ht="15.75" customHeight="1">
      <c r="A1567" s="12"/>
      <c r="D1567" s="217"/>
      <c r="G1567" s="11"/>
      <c r="J1567" s="216"/>
    </row>
    <row r="1568" ht="15.75" customHeight="1">
      <c r="A1568" s="12"/>
      <c r="D1568" s="217"/>
      <c r="G1568" s="11"/>
      <c r="J1568" s="216"/>
    </row>
    <row r="1569" ht="15.75" customHeight="1">
      <c r="A1569" s="12"/>
      <c r="D1569" s="217"/>
      <c r="G1569" s="11"/>
      <c r="J1569" s="216"/>
    </row>
    <row r="1570" ht="15.75" customHeight="1">
      <c r="A1570" s="12"/>
      <c r="D1570" s="217"/>
      <c r="G1570" s="11"/>
      <c r="J1570" s="216"/>
    </row>
    <row r="1571" ht="15.75" customHeight="1">
      <c r="A1571" s="12"/>
      <c r="D1571" s="217"/>
      <c r="G1571" s="11"/>
      <c r="J1571" s="216"/>
    </row>
    <row r="1572" ht="15.75" customHeight="1">
      <c r="A1572" s="12"/>
      <c r="D1572" s="217"/>
      <c r="G1572" s="11"/>
      <c r="J1572" s="216"/>
    </row>
    <row r="1573" ht="15.75" customHeight="1">
      <c r="A1573" s="12"/>
      <c r="D1573" s="217"/>
      <c r="G1573" s="11"/>
      <c r="J1573" s="216"/>
    </row>
  </sheetData>
  <mergeCells count="4">
    <mergeCell ref="D1:E1"/>
    <mergeCell ref="A2:F2"/>
    <mergeCell ref="D1521:F1521"/>
    <mergeCell ref="D1522:F1522"/>
  </mergeCells>
  <printOptions/>
  <pageMargins bottom="0.7480314960629921" footer="0.0" header="0.0" left="0.8267716535433072" right="0.7086614173228347" top="0.7480314960629921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218"/>
    </row>
    <row r="4">
      <c r="A4" s="218"/>
    </row>
    <row r="5">
      <c r="A5" s="218"/>
    </row>
    <row r="6">
      <c r="A6" s="218"/>
    </row>
    <row r="7">
      <c r="A7" s="219"/>
    </row>
    <row r="8">
      <c r="A8" s="219"/>
    </row>
    <row r="9">
      <c r="A9" s="219"/>
    </row>
    <row r="10">
      <c r="A10" s="219"/>
    </row>
    <row r="11">
      <c r="A11" s="219"/>
    </row>
    <row r="12">
      <c r="A12" s="219"/>
    </row>
    <row r="13">
      <c r="A13" s="219"/>
    </row>
    <row r="14">
      <c r="A14" s="219"/>
    </row>
    <row r="15">
      <c r="A15" s="219"/>
    </row>
    <row r="16">
      <c r="A16" s="219"/>
    </row>
    <row r="17">
      <c r="A17" s="219"/>
    </row>
    <row r="18">
      <c r="A18" s="219"/>
    </row>
    <row r="19">
      <c r="A19" s="219"/>
    </row>
    <row r="20">
      <c r="A20" s="219"/>
    </row>
    <row r="21">
      <c r="A21" s="219"/>
    </row>
    <row r="22">
      <c r="A22" s="219"/>
    </row>
    <row r="23">
      <c r="A23" s="219"/>
    </row>
    <row r="24">
      <c r="A24" s="219"/>
    </row>
    <row r="25">
      <c r="A25" s="219"/>
    </row>
    <row r="26">
      <c r="A26" s="219"/>
    </row>
    <row r="27">
      <c r="A27" s="219"/>
    </row>
    <row r="28">
      <c r="A28" s="219"/>
    </row>
    <row r="29">
      <c r="A29" s="219"/>
    </row>
    <row r="30">
      <c r="A30" s="219"/>
    </row>
    <row r="31">
      <c r="A31" s="219"/>
    </row>
    <row r="32">
      <c r="A32" s="219"/>
    </row>
    <row r="33">
      <c r="A33" s="219"/>
    </row>
    <row r="34">
      <c r="A34" s="219"/>
    </row>
    <row r="35">
      <c r="A35" s="219"/>
    </row>
    <row r="36">
      <c r="A36" s="2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2025-10-22T12:56:55Z</dcterms:created>
  <dc:creator>conta</dc:creator>
</cp:coreProperties>
</file>