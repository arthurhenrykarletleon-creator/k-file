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ath\Downloads\"/>
    </mc:Choice>
  </mc:AlternateContent>
  <xr:revisionPtr revIDLastSave="0" documentId="8_{1593568F-0622-4717-8D5D-8FD7F2D89F21}" xr6:coauthVersionLast="47" xr6:coauthVersionMax="47" xr10:uidLastSave="{00000000-0000-0000-0000-000000000000}"/>
  <bookViews>
    <workbookView xWindow="-120" yWindow="-120" windowWidth="29040" windowHeight="15720" xr2:uid="{135A3086-8838-409A-8ECB-800E05F7AB7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H26" i="1" s="1"/>
  <c r="M26" i="1"/>
  <c r="F27" i="1"/>
  <c r="H27" i="1" s="1"/>
  <c r="G27" i="1" s="1"/>
  <c r="M27" i="1"/>
  <c r="F28" i="1"/>
  <c r="H28" i="1" s="1"/>
  <c r="M28" i="1"/>
  <c r="F29" i="1"/>
  <c r="H29" i="1"/>
  <c r="G29" i="1" s="1"/>
  <c r="M29" i="1"/>
  <c r="M14" i="1"/>
  <c r="M15" i="1"/>
  <c r="M16" i="1"/>
  <c r="M17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2" i="1"/>
  <c r="M63" i="1"/>
  <c r="M64" i="1"/>
  <c r="M65" i="1"/>
  <c r="M66" i="1"/>
  <c r="M67" i="1"/>
  <c r="M68" i="1"/>
  <c r="M69" i="1"/>
  <c r="M70" i="1"/>
  <c r="M20" i="1"/>
  <c r="M21" i="1"/>
  <c r="M22" i="1"/>
  <c r="M23" i="1"/>
  <c r="M73" i="1"/>
  <c r="M74" i="1"/>
  <c r="M75" i="1"/>
  <c r="M76" i="1"/>
  <c r="M79" i="1"/>
  <c r="M80" i="1"/>
  <c r="M83" i="1"/>
  <c r="M84" i="1"/>
  <c r="M87" i="1"/>
  <c r="M88" i="1"/>
  <c r="M89" i="1"/>
  <c r="M92" i="1"/>
  <c r="M93" i="1"/>
  <c r="M94" i="1"/>
  <c r="M13" i="1"/>
  <c r="L80" i="1"/>
  <c r="L89" i="1"/>
  <c r="F94" i="1"/>
  <c r="H94" i="1" s="1"/>
  <c r="L94" i="1" s="1"/>
  <c r="F93" i="1"/>
  <c r="H93" i="1" s="1"/>
  <c r="F92" i="1"/>
  <c r="H92" i="1" s="1"/>
  <c r="F89" i="1"/>
  <c r="H89" i="1" s="1"/>
  <c r="G89" i="1" s="1"/>
  <c r="F88" i="1"/>
  <c r="F87" i="1"/>
  <c r="F84" i="1"/>
  <c r="H84" i="1" s="1"/>
  <c r="L84" i="1" s="1"/>
  <c r="F83" i="1"/>
  <c r="H83" i="1" s="1"/>
  <c r="L83" i="1" s="1"/>
  <c r="F80" i="1"/>
  <c r="H80" i="1" s="1"/>
  <c r="G80" i="1" s="1"/>
  <c r="F79" i="1"/>
  <c r="H79" i="1" s="1"/>
  <c r="L79" i="1" s="1"/>
  <c r="H68" i="1"/>
  <c r="G68" i="1" s="1"/>
  <c r="H88" i="1"/>
  <c r="G88" i="1" s="1"/>
  <c r="H87" i="1"/>
  <c r="L87" i="1" s="1"/>
  <c r="F76" i="1"/>
  <c r="H76" i="1" s="1"/>
  <c r="L76" i="1" s="1"/>
  <c r="F75" i="1"/>
  <c r="H75" i="1" s="1"/>
  <c r="G75" i="1" s="1"/>
  <c r="F74" i="1"/>
  <c r="H74" i="1" s="1"/>
  <c r="G74" i="1" s="1"/>
  <c r="F73" i="1"/>
  <c r="H73" i="1" s="1"/>
  <c r="G73" i="1" s="1"/>
  <c r="F23" i="1"/>
  <c r="H23" i="1" s="1"/>
  <c r="F22" i="1"/>
  <c r="H22" i="1" s="1"/>
  <c r="L22" i="1" s="1"/>
  <c r="F21" i="1"/>
  <c r="H21" i="1" s="1"/>
  <c r="L21" i="1" s="1"/>
  <c r="F20" i="1"/>
  <c r="H20" i="1" s="1"/>
  <c r="F70" i="1"/>
  <c r="H70" i="1" s="1"/>
  <c r="L70" i="1" s="1"/>
  <c r="F69" i="1"/>
  <c r="H69" i="1" s="1"/>
  <c r="L69" i="1" s="1"/>
  <c r="F68" i="1"/>
  <c r="F67" i="1"/>
  <c r="H67" i="1" s="1"/>
  <c r="G67" i="1" s="1"/>
  <c r="F66" i="1"/>
  <c r="H66" i="1" s="1"/>
  <c r="L66" i="1" s="1"/>
  <c r="F65" i="1"/>
  <c r="H65" i="1" s="1"/>
  <c r="G65" i="1" s="1"/>
  <c r="F64" i="1"/>
  <c r="H64" i="1" s="1"/>
  <c r="G64" i="1" s="1"/>
  <c r="F63" i="1"/>
  <c r="H63" i="1" s="1"/>
  <c r="G63" i="1" s="1"/>
  <c r="F62" i="1"/>
  <c r="H62" i="1" s="1"/>
  <c r="G62" i="1" s="1"/>
  <c r="F59" i="1"/>
  <c r="H59" i="1" s="1"/>
  <c r="L59" i="1" s="1"/>
  <c r="F58" i="1"/>
  <c r="H58" i="1" s="1"/>
  <c r="L58" i="1" s="1"/>
  <c r="F57" i="1"/>
  <c r="H57" i="1" s="1"/>
  <c r="G57" i="1" s="1"/>
  <c r="F56" i="1"/>
  <c r="H56" i="1" s="1"/>
  <c r="G56" i="1" s="1"/>
  <c r="F55" i="1"/>
  <c r="H55" i="1" s="1"/>
  <c r="G55" i="1" s="1"/>
  <c r="F54" i="1"/>
  <c r="H54" i="1" s="1"/>
  <c r="L54" i="1" s="1"/>
  <c r="F53" i="1"/>
  <c r="H53" i="1" s="1"/>
  <c r="G53" i="1" s="1"/>
  <c r="F52" i="1"/>
  <c r="H52" i="1" s="1"/>
  <c r="L52" i="1" s="1"/>
  <c r="F51" i="1"/>
  <c r="H51" i="1" s="1"/>
  <c r="G51" i="1" s="1"/>
  <c r="F50" i="1"/>
  <c r="H50" i="1" s="1"/>
  <c r="G50" i="1" s="1"/>
  <c r="F49" i="1"/>
  <c r="H49" i="1" s="1"/>
  <c r="G49" i="1" s="1"/>
  <c r="F48" i="1"/>
  <c r="H48" i="1" s="1"/>
  <c r="G48" i="1" s="1"/>
  <c r="F47" i="1"/>
  <c r="H47" i="1" s="1"/>
  <c r="L47" i="1" s="1"/>
  <c r="F46" i="1"/>
  <c r="H46" i="1" s="1"/>
  <c r="L46" i="1" s="1"/>
  <c r="F45" i="1"/>
  <c r="H45" i="1" s="1"/>
  <c r="G45" i="1" s="1"/>
  <c r="F44" i="1"/>
  <c r="H44" i="1" s="1"/>
  <c r="F43" i="1"/>
  <c r="H43" i="1" s="1"/>
  <c r="F42" i="1"/>
  <c r="H42" i="1" s="1"/>
  <c r="F41" i="1"/>
  <c r="H41" i="1" s="1"/>
  <c r="G41" i="1" s="1"/>
  <c r="F40" i="1"/>
  <c r="H40" i="1" s="1"/>
  <c r="L40" i="1" s="1"/>
  <c r="F39" i="1"/>
  <c r="H39" i="1" s="1"/>
  <c r="G39" i="1" s="1"/>
  <c r="F38" i="1"/>
  <c r="H38" i="1" s="1"/>
  <c r="G38" i="1" s="1"/>
  <c r="F37" i="1"/>
  <c r="H37" i="1" s="1"/>
  <c r="G37" i="1" s="1"/>
  <c r="F36" i="1"/>
  <c r="H36" i="1" s="1"/>
  <c r="G36" i="1" s="1"/>
  <c r="F35" i="1"/>
  <c r="H35" i="1" s="1"/>
  <c r="L35" i="1" s="1"/>
  <c r="F34" i="1"/>
  <c r="H34" i="1" s="1"/>
  <c r="L34" i="1" s="1"/>
  <c r="F33" i="1"/>
  <c r="H33" i="1" s="1"/>
  <c r="F32" i="1"/>
  <c r="H32" i="1" s="1"/>
  <c r="L32" i="1" s="1"/>
  <c r="F31" i="1"/>
  <c r="H31" i="1" s="1"/>
  <c r="G31" i="1" s="1"/>
  <c r="F30" i="1"/>
  <c r="H30" i="1" s="1"/>
  <c r="L30" i="1" s="1"/>
  <c r="F17" i="1"/>
  <c r="H17" i="1" s="1"/>
  <c r="G17" i="1" s="1"/>
  <c r="F16" i="1"/>
  <c r="H16" i="1" s="1"/>
  <c r="G16" i="1" s="1"/>
  <c r="F15" i="1"/>
  <c r="H15" i="1" s="1"/>
  <c r="L15" i="1" s="1"/>
  <c r="F14" i="1"/>
  <c r="H14" i="1" s="1"/>
  <c r="G14" i="1" s="1"/>
  <c r="F13" i="1"/>
  <c r="H13" i="1" s="1"/>
  <c r="L13" i="1" s="1"/>
  <c r="L88" i="1" l="1"/>
  <c r="L57" i="1"/>
  <c r="L56" i="1"/>
  <c r="G21" i="1"/>
  <c r="G58" i="1"/>
  <c r="L27" i="1"/>
  <c r="G34" i="1"/>
  <c r="G32" i="1"/>
  <c r="L26" i="1"/>
  <c r="G26" i="1"/>
  <c r="L55" i="1"/>
  <c r="G30" i="1"/>
  <c r="L31" i="1"/>
  <c r="G15" i="1"/>
  <c r="G79" i="1"/>
  <c r="L29" i="1"/>
  <c r="G28" i="1"/>
  <c r="L28" i="1"/>
  <c r="G92" i="1"/>
  <c r="L92" i="1"/>
  <c r="G93" i="1"/>
  <c r="L93" i="1"/>
  <c r="L49" i="1"/>
  <c r="G87" i="1"/>
  <c r="G47" i="1"/>
  <c r="G13" i="1"/>
  <c r="G59" i="1"/>
  <c r="L45" i="1"/>
  <c r="G84" i="1"/>
  <c r="G46" i="1"/>
  <c r="L73" i="1"/>
  <c r="G94" i="1"/>
  <c r="G54" i="1"/>
  <c r="L37" i="1"/>
  <c r="G83" i="1"/>
  <c r="L63" i="1"/>
  <c r="G35" i="1"/>
  <c r="G22" i="1"/>
  <c r="G44" i="1"/>
  <c r="L44" i="1"/>
  <c r="G20" i="1"/>
  <c r="L20" i="1"/>
  <c r="G23" i="1"/>
  <c r="L23" i="1"/>
  <c r="L33" i="1"/>
  <c r="G33" i="1"/>
  <c r="G42" i="1"/>
  <c r="L42" i="1"/>
  <c r="G43" i="1"/>
  <c r="L43" i="1"/>
  <c r="L67" i="1"/>
  <c r="L53" i="1"/>
  <c r="L41" i="1"/>
  <c r="L17" i="1"/>
  <c r="G69" i="1"/>
  <c r="L68" i="1"/>
  <c r="G70" i="1"/>
  <c r="L16" i="1"/>
  <c r="L75" i="1"/>
  <c r="L65" i="1"/>
  <c r="L51" i="1"/>
  <c r="L39" i="1"/>
  <c r="L74" i="1"/>
  <c r="L64" i="1"/>
  <c r="L50" i="1"/>
  <c r="L38" i="1"/>
  <c r="L14" i="1"/>
  <c r="G76" i="1"/>
  <c r="G66" i="1"/>
  <c r="G52" i="1"/>
  <c r="G40" i="1"/>
  <c r="L62" i="1"/>
  <c r="L48" i="1"/>
  <c r="L36" i="1"/>
  <c r="M95" i="1"/>
  <c r="L95" i="1" l="1"/>
  <c r="K95" i="1"/>
</calcChain>
</file>

<file path=xl/sharedStrings.xml><?xml version="1.0" encoding="utf-8"?>
<sst xmlns="http://schemas.openxmlformats.org/spreadsheetml/2006/main" count="229" uniqueCount="169">
  <si>
    <t>Bret's Mini L'ORIGINALE nature 40g</t>
  </si>
  <si>
    <t>40g</t>
  </si>
  <si>
    <t>Bret's Mini POULET BRAISÉ 40g</t>
  </si>
  <si>
    <t>Bret's Mini FROMAGE DU JURA 40g</t>
  </si>
  <si>
    <t>Bret's Mini MIEL MOUTARDE 40g</t>
  </si>
  <si>
    <t>Bret's Mini PESTO MOZARELLA 40g</t>
  </si>
  <si>
    <t>Bret's Sachets 125g</t>
  </si>
  <si>
    <t>Bret's ANCIENNE nature</t>
  </si>
  <si>
    <t>125g</t>
  </si>
  <si>
    <t> 3497911219121</t>
  </si>
  <si>
    <t>Bret's CRAQUANTE nature</t>
  </si>
  <si>
    <t> 3497911119124</t>
  </si>
  <si>
    <t>Bret's L'ORIGINALE nature</t>
  </si>
  <si>
    <t> 3497911119874</t>
  </si>
  <si>
    <t>Bret's PAYSANNE nature</t>
  </si>
  <si>
    <t> 3497917000112</t>
  </si>
  <si>
    <t>Bret's PETITS OIGNONS</t>
  </si>
  <si>
    <t>Bret's PIZZA</t>
  </si>
  <si>
    <t>Bret's POIVRON CHORIZO</t>
  </si>
  <si>
    <t> 3497917000778</t>
  </si>
  <si>
    <t>Bret's POULET BRAISÉ</t>
  </si>
  <si>
    <t>Bret's VINAIGRE</t>
  </si>
  <si>
    <t>Bret's AIOLI</t>
  </si>
  <si>
    <t>Bret's BACON GRILLÉ</t>
  </si>
  <si>
    <t>Bret's BEURRE SALÉ</t>
  </si>
  <si>
    <t>Bret's CAMEMBERT</t>
  </si>
  <si>
    <t>Bret's CEPES</t>
  </si>
  <si>
    <t>Bret's CHEVRE PIMENT</t>
  </si>
  <si>
    <t>Bret's FROMAGE DU JURA</t>
  </si>
  <si>
    <t>Bret's FROMAGE FRAIS</t>
  </si>
  <si>
    <t>Bret's PESTO MOZARELLA</t>
  </si>
  <si>
    <t>Bret's POMMES FRITES SAUCE</t>
  </si>
  <si>
    <t>Bret's YAKITORI</t>
  </si>
  <si>
    <t>Bret's CHEDDAR OIGNON</t>
  </si>
  <si>
    <t>Bret's MIEL MOUTARDE</t>
  </si>
  <si>
    <t>Bret's PILI PILI</t>
  </si>
  <si>
    <t>Bret's TARTIFLETTE</t>
  </si>
  <si>
    <t>Bret's BLEU D'AUVERGNE</t>
  </si>
  <si>
    <t>Bret's JALAPENO CHEDDAR</t>
  </si>
  <si>
    <t>Bret's SAUCE CURRY</t>
  </si>
  <si>
    <t>Bret's CARBONARA</t>
  </si>
  <si>
    <t>Bret's CARBONADE FLAMANDE</t>
  </si>
  <si>
    <t>Bret's KEBAB</t>
  </si>
  <si>
    <t>Bret's ALIGOT à L'AVEYRONNAISE</t>
  </si>
  <si>
    <t>Bret's MOUTARDE au PIMENT de CAYENNE</t>
  </si>
  <si>
    <t>Bret's FALAFELS à la LIBANAISE</t>
  </si>
  <si>
    <t>Bret's TAJINE DE POULET AUX EPICES</t>
  </si>
  <si>
    <t>Bret's BEURRE PERSILLE</t>
  </si>
  <si>
    <t>Bret's SAUCE BBQ</t>
  </si>
  <si>
    <t>Bret's BBQ &amp; JALAPENO</t>
  </si>
  <si>
    <t>Bret's BBQ A LA MEXICAINE</t>
  </si>
  <si>
    <t xml:space="preserve">Bret's BBQ FLAMBÉ au WHISKY </t>
  </si>
  <si>
    <t>Bret's BRIE TRUFFE</t>
  </si>
  <si>
    <t>Bret's CAMEMBERT TRUFFE</t>
  </si>
  <si>
    <t>Bret's Rotisserie</t>
  </si>
  <si>
    <t>Bret's ROTISSERIE nature</t>
  </si>
  <si>
    <t>120g</t>
  </si>
  <si>
    <t xml:space="preserve"> </t>
  </si>
  <si>
    <t>Bret's Premium Légumes - Bio</t>
  </si>
  <si>
    <t>Bret's NATURE BIO</t>
  </si>
  <si>
    <t>100g</t>
  </si>
  <si>
    <t>Bret's LÉGUMES</t>
  </si>
  <si>
    <t>Bret's Sarrasin</t>
  </si>
  <si>
    <t>Bret's SARRASIN Nature</t>
  </si>
  <si>
    <t>Bret's SARRASIN Forestière</t>
  </si>
  <si>
    <t>Bret's Millésime</t>
  </si>
  <si>
    <t>Bret's Millésime NATURE AU SEL DE GUÉRANDE</t>
  </si>
  <si>
    <t>130g</t>
  </si>
  <si>
    <t>Bret's Millésime POIVRE DE TIMUT</t>
  </si>
  <si>
    <t xml:space="preserve">Bret's Millésime TRUFFE D'ÉTÉ </t>
  </si>
  <si>
    <t>Description</t>
  </si>
  <si>
    <t>EAN UC</t>
  </si>
  <si>
    <t>Unité</t>
  </si>
  <si>
    <t>Cond.</t>
  </si>
  <si>
    <t>nombre de colis commandé</t>
  </si>
  <si>
    <t>montant HT</t>
  </si>
  <si>
    <r>
      <t xml:space="preserve">Commande à la palette uniquement </t>
    </r>
    <r>
      <rPr>
        <b/>
        <sz val="16"/>
        <color theme="1"/>
        <rFont val="Aptos Narrow"/>
        <family val="2"/>
        <scheme val="minor"/>
      </rPr>
      <t>par multiples de 90 colis panachables</t>
    </r>
    <r>
      <rPr>
        <sz val="16"/>
        <color theme="1"/>
        <rFont val="Aptos Narrow"/>
        <family val="2"/>
        <scheme val="minor"/>
      </rPr>
      <t xml:space="preserve"> svp (ex: 90 colis ou 180 colis ou 270 colis etc,,,)</t>
    </r>
  </si>
  <si>
    <t>Bret's AIL CONFIT et HERBES de PROVENCE</t>
  </si>
  <si>
    <t>Brets Chips de Crêpes NATURE 50g</t>
  </si>
  <si>
    <t>50g</t>
  </si>
  <si>
    <t>Brets Chips de Crêpes BEURRE CITRON 50g</t>
  </si>
  <si>
    <t>Brets Chips de Crêpes CARAMEL AU BEURRE SALÉ 50g</t>
  </si>
  <si>
    <t>Brets Chips de Crêpes FRUITS ROUGES 50g</t>
  </si>
  <si>
    <t>Chips de Crêpes Bret's sucrées 100g</t>
  </si>
  <si>
    <t>Brets Chips de Crêpes NATURE 100g</t>
  </si>
  <si>
    <t>Brets Chips de Crêpes BEURRE CITRON 100g</t>
  </si>
  <si>
    <t>Brets Chips de Crêpes CARAMEL BEURRE SALE 100g</t>
  </si>
  <si>
    <t>Brets Chips de Crêpes FRUITS ROUGES 100g</t>
  </si>
  <si>
    <t>Nouveautés 2026 Sachets 125g</t>
  </si>
  <si>
    <t>TOTAL</t>
  </si>
  <si>
    <t>Bret's Mini SARRASIN Nature</t>
  </si>
  <si>
    <t>ref interne</t>
  </si>
  <si>
    <t>Bret's AIL et HERBES de PROVENCE rotisserie</t>
  </si>
  <si>
    <t>prix UC cagnotte déduite promo</t>
  </si>
  <si>
    <t xml:space="preserve">prix Colis cagnotte déduite promo </t>
  </si>
  <si>
    <t>prix UC départ promo</t>
  </si>
  <si>
    <t>prix Colis départ promo</t>
  </si>
  <si>
    <t>Points /colis</t>
  </si>
  <si>
    <t>BMINIORIP</t>
  </si>
  <si>
    <t>BMINIPOULP</t>
  </si>
  <si>
    <t>BMINIFROJP</t>
  </si>
  <si>
    <t>BMINIMIELP</t>
  </si>
  <si>
    <t>BMINIPESTOP</t>
  </si>
  <si>
    <t>BANCIENNEP</t>
  </si>
  <si>
    <t>BCRAQP</t>
  </si>
  <si>
    <t>BORIP</t>
  </si>
  <si>
    <t>BPAYSP</t>
  </si>
  <si>
    <t>BBOEUFP</t>
  </si>
  <si>
    <t>BOIGNONP</t>
  </si>
  <si>
    <t>BPIZZAP</t>
  </si>
  <si>
    <t>BPOIVRONP</t>
  </si>
  <si>
    <t>BPOULETP</t>
  </si>
  <si>
    <t>BVINAIGREP</t>
  </si>
  <si>
    <t>BAIOLIP</t>
  </si>
  <si>
    <t>BBACONP</t>
  </si>
  <si>
    <t>BBEURREP</t>
  </si>
  <si>
    <t>BCAMP</t>
  </si>
  <si>
    <t>BCEPESP</t>
  </si>
  <si>
    <t>BCHEVREP</t>
  </si>
  <si>
    <t>BFROJP</t>
  </si>
  <si>
    <t>BFROFP</t>
  </si>
  <si>
    <t>BPESTOP</t>
  </si>
  <si>
    <t>BPOMFP</t>
  </si>
  <si>
    <t>BYAKIP</t>
  </si>
  <si>
    <t>BCHEDDARP</t>
  </si>
  <si>
    <t>BMIELP</t>
  </si>
  <si>
    <t>BPILIP</t>
  </si>
  <si>
    <t>BTARTIP</t>
  </si>
  <si>
    <t>BBLEUAUVP</t>
  </si>
  <si>
    <t>BJALAP</t>
  </si>
  <si>
    <t>BSAUCECURP</t>
  </si>
  <si>
    <t>BCARBONARAP</t>
  </si>
  <si>
    <t>BCARBONADEP</t>
  </si>
  <si>
    <t>BKEBABP</t>
  </si>
  <si>
    <t>BALIGOTP</t>
  </si>
  <si>
    <t>BMOUTARDEP</t>
  </si>
  <si>
    <t>BFALAFELSP</t>
  </si>
  <si>
    <t>BCONFAILP</t>
  </si>
  <si>
    <t>BTAJINEP</t>
  </si>
  <si>
    <t>BBEURPERSP</t>
  </si>
  <si>
    <t>BSAUCEBBQP</t>
  </si>
  <si>
    <t>BBBQJALAP</t>
  </si>
  <si>
    <t>BBBQMEXIP</t>
  </si>
  <si>
    <t>BBBQWHISP</t>
  </si>
  <si>
    <t>BBRIEP</t>
  </si>
  <si>
    <t>BCAMTRUFP</t>
  </si>
  <si>
    <t>CREPNAT50P</t>
  </si>
  <si>
    <t>CREPBEURCIT50P</t>
  </si>
  <si>
    <t>CREPCARA50P</t>
  </si>
  <si>
    <t>CREPFRUIT50P</t>
  </si>
  <si>
    <t>CREPNAT100P</t>
  </si>
  <si>
    <t>CREPBEURCIT100P</t>
  </si>
  <si>
    <t>CREPCARA100P</t>
  </si>
  <si>
    <t>CREPFRUIT100P</t>
  </si>
  <si>
    <t>BROTISSP</t>
  </si>
  <si>
    <t>BAILP</t>
  </si>
  <si>
    <t>BBIOP</t>
  </si>
  <si>
    <t>BLEGUMP</t>
  </si>
  <si>
    <t>BMINISARRAP</t>
  </si>
  <si>
    <t>BSARRAP</t>
  </si>
  <si>
    <t>BSARRAFORP</t>
  </si>
  <si>
    <t>BGUERANDEP</t>
  </si>
  <si>
    <t>BPOIVRP</t>
  </si>
  <si>
    <t>BTRUFP</t>
  </si>
  <si>
    <t>Bret's COTE de BŒUF</t>
  </si>
  <si>
    <t xml:space="preserve">         Opération BRET'S à la palette FIDÉLITÉ</t>
  </si>
  <si>
    <t>Points cagnottés</t>
  </si>
  <si>
    <t xml:space="preserve">Bret's Snacking sachets 40g </t>
  </si>
  <si>
    <t>Chips de Crêpes Bret's sucrées Snacking 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</si>
</sst>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333333"/>
      <name val="Calibri"/>
      <family val="2"/>
    </font>
    <font>
      <b/>
      <sz val="13"/>
      <color theme="1"/>
      <name val="Aptos Narrow"/>
      <family val="2"/>
      <scheme val="minor"/>
    </font>
    <font>
      <b/>
      <sz val="11"/>
      <color rgb="FF7030A0"/>
      <name val="Calibri"/>
      <family val="2"/>
    </font>
    <font>
      <b/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sz val="8"/>
      <color rgb="FF333333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9900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8" tint="0.79998168889431442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2CC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horizontal="center"/>
    </xf>
    <xf numFmtId="0" fontId="1" fillId="5" borderId="4" xfId="0" applyFont="1" applyFill="1" applyBorder="1"/>
    <xf numFmtId="0" fontId="1" fillId="0" borderId="5" xfId="0" applyFont="1" applyBorder="1" applyAlignment="1">
      <alignment wrapText="1"/>
    </xf>
    <xf numFmtId="0" fontId="1" fillId="0" borderId="5" xfId="0" applyFont="1" applyBorder="1"/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49" fontId="2" fillId="2" borderId="3" xfId="0" applyNumberFormat="1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vertical="center" wrapText="1"/>
    </xf>
    <xf numFmtId="0" fontId="1" fillId="0" borderId="10" xfId="0" applyFont="1" applyBorder="1" applyAlignment="1">
      <alignment horizontal="center"/>
    </xf>
    <xf numFmtId="49" fontId="2" fillId="2" borderId="1" xfId="0" applyNumberFormat="1" applyFont="1" applyFill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vertical="center" wrapText="1"/>
    </xf>
    <xf numFmtId="49" fontId="3" fillId="7" borderId="2" xfId="0" applyNumberFormat="1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1" fillId="0" borderId="1" xfId="0" applyFont="1" applyBorder="1"/>
    <xf numFmtId="164" fontId="1" fillId="0" borderId="1" xfId="0" applyNumberFormat="1" applyFont="1" applyBorder="1"/>
    <xf numFmtId="0" fontId="1" fillId="9" borderId="1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49" fontId="6" fillId="6" borderId="1" xfId="0" applyNumberFormat="1" applyFont="1" applyFill="1" applyBorder="1" applyAlignment="1">
      <alignment vertical="center" wrapText="1"/>
    </xf>
    <xf numFmtId="49" fontId="6" fillId="3" borderId="1" xfId="0" applyNumberFormat="1" applyFont="1" applyFill="1" applyBorder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2" xfId="0" applyFont="1" applyBorder="1" applyAlignment="1">
      <alignment horizontal="center" wrapText="1"/>
    </xf>
    <xf numFmtId="49" fontId="6" fillId="3" borderId="1" xfId="0" applyNumberFormat="1" applyFont="1" applyFill="1" applyBorder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49" fontId="6" fillId="3" borderId="8" xfId="0" applyNumberFormat="1" applyFont="1" applyFill="1" applyBorder="1" applyAlignment="1">
      <alignment vertical="center"/>
    </xf>
    <xf numFmtId="49" fontId="3" fillId="8" borderId="2" xfId="0" applyNumberFormat="1" applyFont="1" applyFill="1" applyBorder="1" applyAlignment="1">
      <alignment vertical="center" wrapText="1"/>
    </xf>
    <xf numFmtId="49" fontId="6" fillId="3" borderId="3" xfId="0" applyNumberFormat="1" applyFont="1" applyFill="1" applyBorder="1" applyAlignment="1">
      <alignment vertical="center" wrapText="1"/>
    </xf>
    <xf numFmtId="49" fontId="3" fillId="11" borderId="2" xfId="0" applyNumberFormat="1" applyFont="1" applyFill="1" applyBorder="1" applyAlignment="1">
      <alignment vertical="center"/>
    </xf>
    <xf numFmtId="49" fontId="2" fillId="3" borderId="8" xfId="0" applyNumberFormat="1" applyFont="1" applyFill="1" applyBorder="1" applyAlignment="1">
      <alignment vertical="center" wrapText="1"/>
    </xf>
    <xf numFmtId="49" fontId="6" fillId="3" borderId="3" xfId="0" applyNumberFormat="1" applyFont="1" applyFill="1" applyBorder="1" applyAlignment="1">
      <alignment vertical="center"/>
    </xf>
    <xf numFmtId="49" fontId="6" fillId="2" borderId="3" xfId="0" applyNumberFormat="1" applyFont="1" applyFill="1" applyBorder="1" applyAlignment="1">
      <alignment vertical="center" wrapText="1"/>
    </xf>
    <xf numFmtId="49" fontId="2" fillId="3" borderId="3" xfId="0" applyNumberFormat="1" applyFont="1" applyFill="1" applyBorder="1" applyAlignment="1">
      <alignment vertical="center" wrapText="1"/>
    </xf>
    <xf numFmtId="49" fontId="2" fillId="2" borderId="12" xfId="0" applyNumberFormat="1" applyFont="1" applyFill="1" applyBorder="1" applyAlignment="1">
      <alignment vertical="center" wrapText="1"/>
    </xf>
    <xf numFmtId="0" fontId="1" fillId="0" borderId="1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49" fontId="3" fillId="11" borderId="14" xfId="0" applyNumberFormat="1" applyFont="1" applyFill="1" applyBorder="1" applyAlignment="1">
      <alignment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wrapText="1"/>
    </xf>
    <xf numFmtId="0" fontId="12" fillId="0" borderId="17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5" borderId="10" xfId="0" applyFont="1" applyFill="1" applyBorder="1" applyAlignment="1">
      <alignment horizontal="center"/>
    </xf>
    <xf numFmtId="164" fontId="13" fillId="2" borderId="1" xfId="0" applyNumberFormat="1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/>
    </xf>
    <xf numFmtId="164" fontId="14" fillId="4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5" fillId="12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5" borderId="0" xfId="0" applyFill="1"/>
    <xf numFmtId="2" fontId="1" fillId="0" borderId="10" xfId="0" applyNumberFormat="1" applyFont="1" applyBorder="1" applyAlignment="1">
      <alignment horizontal="center"/>
    </xf>
    <xf numFmtId="0" fontId="1" fillId="12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164" fontId="13" fillId="2" borderId="10" xfId="0" applyNumberFormat="1" applyFont="1" applyFill="1" applyBorder="1" applyAlignment="1">
      <alignment horizontal="center" vertical="center" wrapText="1"/>
    </xf>
    <xf numFmtId="49" fontId="2" fillId="3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AD1E-DEFF-49D3-9531-9C90C4829FF7}">
  <dimension ref="A4:O95"/>
  <sheetViews>
    <sheetView tabSelected="1" workbookViewId="0">
      <selection activeCell="N93" sqref="N93"/>
    </sheetView>
  </sheetViews>
  <sheetFormatPr baseColWidth="10" defaultRowHeight="15" x14ac:dyDescent="0.25"/>
  <cols>
    <col min="1" max="1" width="64" customWidth="1"/>
    <col min="2" max="2" width="7.85546875" customWidth="1"/>
    <col min="3" max="3" width="5.42578125" customWidth="1"/>
    <col min="4" max="4" width="18.5703125" customWidth="1"/>
    <col min="5" max="5" width="9" style="1" customWidth="1"/>
    <col min="6" max="7" width="8.85546875" style="1" customWidth="1"/>
    <col min="8" max="9" width="8.140625" style="1" customWidth="1"/>
    <col min="10" max="10" width="14.7109375" style="1" customWidth="1"/>
    <col min="11" max="11" width="17.140625" style="1" customWidth="1"/>
    <col min="12" max="12" width="11" style="1"/>
  </cols>
  <sheetData>
    <row r="4" spans="1:13" ht="26.25" x14ac:dyDescent="0.4">
      <c r="B4" s="39"/>
      <c r="C4" s="41" t="s">
        <v>165</v>
      </c>
      <c r="D4" s="40"/>
    </row>
    <row r="6" spans="1:13" ht="21" x14ac:dyDescent="0.35">
      <c r="B6" s="37"/>
      <c r="C6" s="37"/>
      <c r="E6" s="38"/>
      <c r="F6" s="38"/>
      <c r="G6" s="38"/>
      <c r="H6" s="38"/>
      <c r="J6" s="38"/>
      <c r="K6" s="38"/>
    </row>
    <row r="7" spans="1:13" ht="21" x14ac:dyDescent="0.35">
      <c r="A7" s="42" t="s">
        <v>76</v>
      </c>
      <c r="B7" s="42"/>
      <c r="C7" s="42"/>
      <c r="D7" s="42"/>
      <c r="E7" s="43"/>
      <c r="F7" s="43"/>
      <c r="G7" s="43"/>
      <c r="H7" s="43"/>
      <c r="I7" s="44"/>
      <c r="J7" s="43"/>
      <c r="K7" s="43"/>
      <c r="L7" s="44"/>
    </row>
    <row r="9" spans="1:13" ht="15.75" thickBot="1" x14ac:dyDescent="0.3"/>
    <row r="10" spans="1:13" ht="75.75" thickBot="1" x14ac:dyDescent="0.3">
      <c r="A10" s="2" t="s">
        <v>70</v>
      </c>
      <c r="B10" s="3" t="s">
        <v>73</v>
      </c>
      <c r="C10" s="4" t="s">
        <v>72</v>
      </c>
      <c r="D10" s="4" t="s">
        <v>71</v>
      </c>
      <c r="E10" s="5" t="s">
        <v>93</v>
      </c>
      <c r="F10" s="6" t="s">
        <v>94</v>
      </c>
      <c r="G10" s="62" t="s">
        <v>95</v>
      </c>
      <c r="H10" s="62" t="s">
        <v>96</v>
      </c>
      <c r="I10" s="62" t="s">
        <v>97</v>
      </c>
      <c r="J10" s="62" t="s">
        <v>91</v>
      </c>
      <c r="K10" s="45" t="s">
        <v>74</v>
      </c>
      <c r="L10" s="7" t="s">
        <v>75</v>
      </c>
      <c r="M10" s="79" t="s">
        <v>166</v>
      </c>
    </row>
    <row r="11" spans="1:13" ht="15.75" thickBot="1" x14ac:dyDescent="0.3">
      <c r="A11" s="57"/>
      <c r="B11" s="9"/>
      <c r="C11" s="10"/>
      <c r="D11" s="11"/>
      <c r="E11" s="12"/>
      <c r="F11" s="13"/>
      <c r="G11" s="13"/>
      <c r="H11" s="13"/>
      <c r="I11" s="13"/>
      <c r="J11" s="64"/>
      <c r="K11" s="18"/>
      <c r="L11" s="12"/>
      <c r="M11" s="80"/>
    </row>
    <row r="12" spans="1:13" ht="15.75" thickBot="1" x14ac:dyDescent="0.3">
      <c r="A12" s="26" t="s">
        <v>167</v>
      </c>
      <c r="B12" s="27"/>
      <c r="C12" s="16"/>
      <c r="D12" s="17"/>
      <c r="E12" s="18"/>
      <c r="F12" s="19"/>
      <c r="G12" s="19"/>
      <c r="H12" s="19"/>
      <c r="I12" s="21"/>
      <c r="J12" s="65"/>
      <c r="K12" s="18"/>
      <c r="L12" s="14"/>
      <c r="M12" s="81"/>
    </row>
    <row r="13" spans="1:13" x14ac:dyDescent="0.25">
      <c r="A13" s="56" t="s">
        <v>0</v>
      </c>
      <c r="B13" s="15" t="s">
        <v>1</v>
      </c>
      <c r="C13" s="16">
        <v>18</v>
      </c>
      <c r="D13" s="17">
        <v>3497917001196</v>
      </c>
      <c r="E13" s="72">
        <v>0.4</v>
      </c>
      <c r="F13" s="21">
        <f>E13*C13</f>
        <v>7.2</v>
      </c>
      <c r="G13" s="77">
        <f>H13/C13</f>
        <v>0.45555555555555549</v>
      </c>
      <c r="H13" s="21">
        <f>I13+F13</f>
        <v>8.1999999999999993</v>
      </c>
      <c r="I13" s="78">
        <v>1</v>
      </c>
      <c r="J13" s="66" t="s">
        <v>98</v>
      </c>
      <c r="K13" s="31"/>
      <c r="L13" s="14">
        <f>H13*K13</f>
        <v>0</v>
      </c>
      <c r="M13" s="81">
        <f>K13*I13</f>
        <v>0</v>
      </c>
    </row>
    <row r="14" spans="1:13" x14ac:dyDescent="0.25">
      <c r="A14" s="20" t="s">
        <v>2</v>
      </c>
      <c r="B14" s="15" t="s">
        <v>1</v>
      </c>
      <c r="C14" s="16">
        <v>18</v>
      </c>
      <c r="D14" s="17">
        <v>3497917004202</v>
      </c>
      <c r="E14" s="72">
        <v>0.5</v>
      </c>
      <c r="F14" s="21">
        <f>E14*C14</f>
        <v>9</v>
      </c>
      <c r="G14" s="77">
        <f t="shared" ref="G14:G76" si="0">H14/C14</f>
        <v>0.55555555555555558</v>
      </c>
      <c r="H14" s="21">
        <f t="shared" ref="H14:H76" si="1">I14+F14</f>
        <v>10</v>
      </c>
      <c r="I14" s="78">
        <v>1</v>
      </c>
      <c r="J14" s="66" t="s">
        <v>99</v>
      </c>
      <c r="K14" s="31"/>
      <c r="L14" s="14">
        <f t="shared" ref="L14:L76" si="2">H14*K14</f>
        <v>0</v>
      </c>
      <c r="M14" s="81">
        <f t="shared" ref="M14:M76" si="3">K14*I14</f>
        <v>0</v>
      </c>
    </row>
    <row r="15" spans="1:13" x14ac:dyDescent="0.25">
      <c r="A15" s="20" t="s">
        <v>3</v>
      </c>
      <c r="B15" s="15" t="s">
        <v>1</v>
      </c>
      <c r="C15" s="16">
        <v>18</v>
      </c>
      <c r="D15" s="17">
        <v>3497917004479</v>
      </c>
      <c r="E15" s="72">
        <v>0.5</v>
      </c>
      <c r="F15" s="21">
        <f>E15*C15</f>
        <v>9</v>
      </c>
      <c r="G15" s="77">
        <f t="shared" si="0"/>
        <v>0.55555555555555558</v>
      </c>
      <c r="H15" s="21">
        <f t="shared" si="1"/>
        <v>10</v>
      </c>
      <c r="I15" s="78">
        <v>1</v>
      </c>
      <c r="J15" s="66" t="s">
        <v>100</v>
      </c>
      <c r="K15" s="31"/>
      <c r="L15" s="14">
        <f t="shared" si="2"/>
        <v>0</v>
      </c>
      <c r="M15" s="81">
        <f t="shared" si="3"/>
        <v>0</v>
      </c>
    </row>
    <row r="16" spans="1:13" x14ac:dyDescent="0.25">
      <c r="A16" s="20" t="s">
        <v>4</v>
      </c>
      <c r="B16" s="15" t="s">
        <v>1</v>
      </c>
      <c r="C16" s="16">
        <v>18</v>
      </c>
      <c r="D16" s="17">
        <v>3497917004486</v>
      </c>
      <c r="E16" s="72">
        <v>0.5</v>
      </c>
      <c r="F16" s="21">
        <f>E16*C16</f>
        <v>9</v>
      </c>
      <c r="G16" s="77">
        <f t="shared" si="0"/>
        <v>0.55555555555555558</v>
      </c>
      <c r="H16" s="21">
        <f t="shared" si="1"/>
        <v>10</v>
      </c>
      <c r="I16" s="78">
        <v>1</v>
      </c>
      <c r="J16" s="66" t="s">
        <v>101</v>
      </c>
      <c r="K16" s="31"/>
      <c r="L16" s="14">
        <f t="shared" si="2"/>
        <v>0</v>
      </c>
      <c r="M16" s="81">
        <f t="shared" si="3"/>
        <v>0</v>
      </c>
    </row>
    <row r="17" spans="1:13" x14ac:dyDescent="0.25">
      <c r="A17" s="20" t="s">
        <v>5</v>
      </c>
      <c r="B17" s="15" t="s">
        <v>1</v>
      </c>
      <c r="C17" s="16">
        <v>18</v>
      </c>
      <c r="D17" s="17">
        <v>3497917004493</v>
      </c>
      <c r="E17" s="72">
        <v>0.5</v>
      </c>
      <c r="F17" s="21">
        <f>E17*C17</f>
        <v>9</v>
      </c>
      <c r="G17" s="77">
        <f t="shared" si="0"/>
        <v>0.55555555555555558</v>
      </c>
      <c r="H17" s="21">
        <f t="shared" si="1"/>
        <v>10</v>
      </c>
      <c r="I17" s="78">
        <v>1</v>
      </c>
      <c r="J17" s="66" t="s">
        <v>102</v>
      </c>
      <c r="K17" s="31"/>
      <c r="L17" s="14">
        <f t="shared" si="2"/>
        <v>0</v>
      </c>
      <c r="M17" s="81">
        <f t="shared" si="3"/>
        <v>0</v>
      </c>
    </row>
    <row r="18" spans="1:13" ht="15.75" thickBot="1" x14ac:dyDescent="0.3">
      <c r="A18" s="86"/>
      <c r="B18" s="27"/>
      <c r="C18" s="16"/>
      <c r="D18" s="17"/>
      <c r="E18" s="72"/>
      <c r="F18" s="21"/>
      <c r="G18" s="77"/>
      <c r="H18" s="21"/>
      <c r="I18" s="78"/>
      <c r="J18" s="85"/>
      <c r="K18" s="31"/>
      <c r="L18" s="14"/>
      <c r="M18" s="81"/>
    </row>
    <row r="19" spans="1:13" ht="15.75" thickBot="1" x14ac:dyDescent="0.3">
      <c r="A19" s="52" t="s">
        <v>168</v>
      </c>
      <c r="B19" s="27"/>
      <c r="C19" s="16"/>
      <c r="D19" s="23"/>
      <c r="E19" s="15"/>
      <c r="F19" s="19"/>
      <c r="G19" s="21"/>
      <c r="H19" s="21"/>
      <c r="I19" s="19"/>
      <c r="J19" s="67"/>
      <c r="K19" s="18"/>
      <c r="L19" s="14"/>
      <c r="M19" s="81"/>
    </row>
    <row r="20" spans="1:13" x14ac:dyDescent="0.25">
      <c r="A20" s="54" t="s">
        <v>78</v>
      </c>
      <c r="B20" s="15" t="s">
        <v>79</v>
      </c>
      <c r="C20" s="16">
        <v>14</v>
      </c>
      <c r="D20" s="23">
        <v>3497917004684</v>
      </c>
      <c r="E20" s="74">
        <v>1.1499999999999999</v>
      </c>
      <c r="F20" s="21">
        <f>E20*C20</f>
        <v>16.099999999999998</v>
      </c>
      <c r="G20" s="77">
        <f>H20/C20</f>
        <v>1.2214285714285713</v>
      </c>
      <c r="H20" s="21">
        <f>I20+F20</f>
        <v>17.099999999999998</v>
      </c>
      <c r="I20" s="78">
        <v>1</v>
      </c>
      <c r="J20" s="66" t="s">
        <v>146</v>
      </c>
      <c r="K20" s="31"/>
      <c r="L20" s="14">
        <f>H20*K20</f>
        <v>0</v>
      </c>
      <c r="M20" s="81">
        <f>K20*I20</f>
        <v>0</v>
      </c>
    </row>
    <row r="21" spans="1:13" x14ac:dyDescent="0.25">
      <c r="A21" s="46" t="s">
        <v>80</v>
      </c>
      <c r="B21" s="15" t="s">
        <v>79</v>
      </c>
      <c r="C21" s="16">
        <v>14</v>
      </c>
      <c r="D21" s="23">
        <v>3497917004707</v>
      </c>
      <c r="E21" s="74">
        <v>1.1499999999999999</v>
      </c>
      <c r="F21" s="21">
        <f>E21*C21</f>
        <v>16.099999999999998</v>
      </c>
      <c r="G21" s="77">
        <f>H21/C21</f>
        <v>1.2214285714285713</v>
      </c>
      <c r="H21" s="21">
        <f>I21+F21</f>
        <v>17.099999999999998</v>
      </c>
      <c r="I21" s="78">
        <v>1</v>
      </c>
      <c r="J21" s="66" t="s">
        <v>147</v>
      </c>
      <c r="K21" s="31"/>
      <c r="L21" s="14">
        <f>H21*K21</f>
        <v>0</v>
      </c>
      <c r="M21" s="81">
        <f>K21*I21</f>
        <v>0</v>
      </c>
    </row>
    <row r="22" spans="1:13" x14ac:dyDescent="0.25">
      <c r="A22" s="46" t="s">
        <v>81</v>
      </c>
      <c r="B22" s="15" t="s">
        <v>79</v>
      </c>
      <c r="C22" s="16">
        <v>14</v>
      </c>
      <c r="D22" s="17">
        <v>3497917004714</v>
      </c>
      <c r="E22" s="74">
        <v>1.1499999999999999</v>
      </c>
      <c r="F22" s="21">
        <f>E22*C22</f>
        <v>16.099999999999998</v>
      </c>
      <c r="G22" s="77">
        <f>H22/C22</f>
        <v>1.2214285714285713</v>
      </c>
      <c r="H22" s="21">
        <f>I22+F22</f>
        <v>17.099999999999998</v>
      </c>
      <c r="I22" s="78">
        <v>1</v>
      </c>
      <c r="J22" s="66" t="s">
        <v>148</v>
      </c>
      <c r="K22" s="31"/>
      <c r="L22" s="14">
        <f>H22*K22</f>
        <v>0</v>
      </c>
      <c r="M22" s="81">
        <f>K22*I22</f>
        <v>0</v>
      </c>
    </row>
    <row r="23" spans="1:13" x14ac:dyDescent="0.25">
      <c r="A23" s="46" t="s">
        <v>82</v>
      </c>
      <c r="B23" s="15" t="s">
        <v>79</v>
      </c>
      <c r="C23" s="16">
        <v>14</v>
      </c>
      <c r="D23" s="23">
        <v>3497917004691</v>
      </c>
      <c r="E23" s="74">
        <v>1.1499999999999999</v>
      </c>
      <c r="F23" s="21">
        <f>E23*C23</f>
        <v>16.099999999999998</v>
      </c>
      <c r="G23" s="77">
        <f>H23/C23</f>
        <v>1.2214285714285713</v>
      </c>
      <c r="H23" s="21">
        <f>I23+F23</f>
        <v>17.099999999999998</v>
      </c>
      <c r="I23" s="78">
        <v>1</v>
      </c>
      <c r="J23" s="66" t="s">
        <v>149</v>
      </c>
      <c r="K23" s="31"/>
      <c r="L23" s="14">
        <f>H23*K23</f>
        <v>0</v>
      </c>
      <c r="M23" s="81">
        <f>K23*I23</f>
        <v>0</v>
      </c>
    </row>
    <row r="24" spans="1:13" ht="15.75" thickBot="1" x14ac:dyDescent="0.3">
      <c r="A24" s="46"/>
      <c r="B24" s="15"/>
      <c r="C24" s="16"/>
      <c r="D24" s="23"/>
      <c r="E24" s="48"/>
      <c r="F24" s="19"/>
      <c r="G24" s="21"/>
      <c r="H24" s="21"/>
      <c r="I24" s="19"/>
      <c r="J24" s="67"/>
      <c r="K24" s="18"/>
      <c r="L24" s="14"/>
      <c r="M24" s="81"/>
    </row>
    <row r="25" spans="1:13" ht="15.75" thickBot="1" x14ac:dyDescent="0.3">
      <c r="A25" s="26" t="s">
        <v>6</v>
      </c>
      <c r="B25" s="27"/>
      <c r="C25" s="16"/>
      <c r="D25" s="17"/>
      <c r="E25" s="18"/>
      <c r="F25" s="21"/>
      <c r="G25" s="21"/>
      <c r="H25" s="21"/>
      <c r="I25" s="19"/>
      <c r="J25" s="67"/>
      <c r="K25" s="18"/>
      <c r="L25" s="14"/>
      <c r="M25" s="81"/>
    </row>
    <row r="26" spans="1:13" x14ac:dyDescent="0.25">
      <c r="A26" s="8" t="s">
        <v>7</v>
      </c>
      <c r="B26" s="15" t="s">
        <v>8</v>
      </c>
      <c r="C26" s="16">
        <v>10</v>
      </c>
      <c r="D26" s="17" t="s">
        <v>9</v>
      </c>
      <c r="E26" s="73">
        <v>1.1499999999999999</v>
      </c>
      <c r="F26" s="21">
        <f t="shared" ref="F26:F59" si="4">E26*C26</f>
        <v>11.5</v>
      </c>
      <c r="G26" s="21">
        <f t="shared" si="0"/>
        <v>1.35</v>
      </c>
      <c r="H26" s="21">
        <f t="shared" si="1"/>
        <v>13.5</v>
      </c>
      <c r="I26" s="78">
        <v>2</v>
      </c>
      <c r="J26" s="66" t="s">
        <v>103</v>
      </c>
      <c r="K26" s="31"/>
      <c r="L26" s="14">
        <f t="shared" si="2"/>
        <v>0</v>
      </c>
      <c r="M26" s="81">
        <f t="shared" si="3"/>
        <v>0</v>
      </c>
    </row>
    <row r="27" spans="1:13" x14ac:dyDescent="0.25">
      <c r="A27" s="22" t="s">
        <v>10</v>
      </c>
      <c r="B27" s="15" t="s">
        <v>8</v>
      </c>
      <c r="C27" s="16">
        <v>10</v>
      </c>
      <c r="D27" s="17" t="s">
        <v>11</v>
      </c>
      <c r="E27" s="73">
        <v>1.1499999999999999</v>
      </c>
      <c r="F27" s="21">
        <f t="shared" si="4"/>
        <v>11.5</v>
      </c>
      <c r="G27" s="21">
        <f t="shared" si="0"/>
        <v>1.35</v>
      </c>
      <c r="H27" s="21">
        <f t="shared" si="1"/>
        <v>13.5</v>
      </c>
      <c r="I27" s="78">
        <v>2</v>
      </c>
      <c r="J27" s="66" t="s">
        <v>104</v>
      </c>
      <c r="K27" s="31"/>
      <c r="L27" s="14">
        <f t="shared" si="2"/>
        <v>0</v>
      </c>
      <c r="M27" s="81">
        <f t="shared" si="3"/>
        <v>0</v>
      </c>
    </row>
    <row r="28" spans="1:13" x14ac:dyDescent="0.25">
      <c r="A28" s="22" t="s">
        <v>12</v>
      </c>
      <c r="B28" s="15" t="s">
        <v>8</v>
      </c>
      <c r="C28" s="16">
        <v>10</v>
      </c>
      <c r="D28" s="17" t="s">
        <v>13</v>
      </c>
      <c r="E28" s="73">
        <v>1.1499999999999999</v>
      </c>
      <c r="F28" s="21">
        <f t="shared" si="4"/>
        <v>11.5</v>
      </c>
      <c r="G28" s="21">
        <f t="shared" si="0"/>
        <v>1.35</v>
      </c>
      <c r="H28" s="21">
        <f t="shared" si="1"/>
        <v>13.5</v>
      </c>
      <c r="I28" s="78">
        <v>2</v>
      </c>
      <c r="J28" s="66" t="s">
        <v>105</v>
      </c>
      <c r="K28" s="31"/>
      <c r="L28" s="14">
        <f t="shared" si="2"/>
        <v>0</v>
      </c>
      <c r="M28" s="81">
        <f t="shared" si="3"/>
        <v>0</v>
      </c>
    </row>
    <row r="29" spans="1:13" x14ac:dyDescent="0.25">
      <c r="A29" s="22" t="s">
        <v>14</v>
      </c>
      <c r="B29" s="15" t="s">
        <v>8</v>
      </c>
      <c r="C29" s="16">
        <v>10</v>
      </c>
      <c r="D29" s="17" t="s">
        <v>15</v>
      </c>
      <c r="E29" s="73">
        <v>1.1499999999999999</v>
      </c>
      <c r="F29" s="21">
        <f t="shared" si="4"/>
        <v>11.5</v>
      </c>
      <c r="G29" s="21">
        <f t="shared" si="0"/>
        <v>1.35</v>
      </c>
      <c r="H29" s="21">
        <f t="shared" si="1"/>
        <v>13.5</v>
      </c>
      <c r="I29" s="78">
        <v>2</v>
      </c>
      <c r="J29" s="66" t="s">
        <v>106</v>
      </c>
      <c r="K29" s="31"/>
      <c r="L29" s="14">
        <f t="shared" si="2"/>
        <v>0</v>
      </c>
      <c r="M29" s="81">
        <f t="shared" si="3"/>
        <v>0</v>
      </c>
    </row>
    <row r="30" spans="1:13" x14ac:dyDescent="0.25">
      <c r="A30" s="22" t="s">
        <v>164</v>
      </c>
      <c r="B30" s="15" t="s">
        <v>8</v>
      </c>
      <c r="C30" s="16">
        <v>10</v>
      </c>
      <c r="D30" s="17">
        <v>3497917000990</v>
      </c>
      <c r="E30" s="73">
        <v>1.3</v>
      </c>
      <c r="F30" s="21">
        <f t="shared" si="4"/>
        <v>13</v>
      </c>
      <c r="G30" s="21">
        <f t="shared" si="0"/>
        <v>1.4</v>
      </c>
      <c r="H30" s="21">
        <f t="shared" si="1"/>
        <v>14</v>
      </c>
      <c r="I30" s="78">
        <v>1</v>
      </c>
      <c r="J30" s="66" t="s">
        <v>107</v>
      </c>
      <c r="K30" s="31"/>
      <c r="L30" s="14">
        <f t="shared" si="2"/>
        <v>0</v>
      </c>
      <c r="M30" s="81">
        <f t="shared" si="3"/>
        <v>0</v>
      </c>
    </row>
    <row r="31" spans="1:13" x14ac:dyDescent="0.25">
      <c r="A31" s="22" t="s">
        <v>16</v>
      </c>
      <c r="B31" s="15" t="s">
        <v>8</v>
      </c>
      <c r="C31" s="16">
        <v>10</v>
      </c>
      <c r="D31" s="17">
        <v>3497917000303</v>
      </c>
      <c r="E31" s="73">
        <v>1.3</v>
      </c>
      <c r="F31" s="21">
        <f t="shared" si="4"/>
        <v>13</v>
      </c>
      <c r="G31" s="21">
        <f t="shared" si="0"/>
        <v>1.4</v>
      </c>
      <c r="H31" s="21">
        <f t="shared" si="1"/>
        <v>14</v>
      </c>
      <c r="I31" s="78">
        <v>1</v>
      </c>
      <c r="J31" s="66" t="s">
        <v>108</v>
      </c>
      <c r="K31" s="31"/>
      <c r="L31" s="14">
        <f t="shared" si="2"/>
        <v>0</v>
      </c>
      <c r="M31" s="81">
        <f t="shared" si="3"/>
        <v>0</v>
      </c>
    </row>
    <row r="32" spans="1:13" x14ac:dyDescent="0.25">
      <c r="A32" s="22" t="s">
        <v>17</v>
      </c>
      <c r="B32" s="15" t="s">
        <v>8</v>
      </c>
      <c r="C32" s="16">
        <v>10</v>
      </c>
      <c r="D32" s="17">
        <v>3497911123350</v>
      </c>
      <c r="E32" s="73">
        <v>1.3</v>
      </c>
      <c r="F32" s="21">
        <f t="shared" si="4"/>
        <v>13</v>
      </c>
      <c r="G32" s="21">
        <f t="shared" si="0"/>
        <v>1.4</v>
      </c>
      <c r="H32" s="21">
        <f t="shared" si="1"/>
        <v>14</v>
      </c>
      <c r="I32" s="78">
        <v>1</v>
      </c>
      <c r="J32" s="66" t="s">
        <v>109</v>
      </c>
      <c r="K32" s="31"/>
      <c r="L32" s="14">
        <f t="shared" si="2"/>
        <v>0</v>
      </c>
      <c r="M32" s="81">
        <f t="shared" si="3"/>
        <v>0</v>
      </c>
    </row>
    <row r="33" spans="1:13" x14ac:dyDescent="0.25">
      <c r="A33" s="22" t="s">
        <v>18</v>
      </c>
      <c r="B33" s="15" t="s">
        <v>8</v>
      </c>
      <c r="C33" s="16">
        <v>10</v>
      </c>
      <c r="D33" s="17" t="s">
        <v>19</v>
      </c>
      <c r="E33" s="73">
        <v>1.3</v>
      </c>
      <c r="F33" s="21">
        <f t="shared" si="4"/>
        <v>13</v>
      </c>
      <c r="G33" s="21">
        <f t="shared" si="0"/>
        <v>1.4</v>
      </c>
      <c r="H33" s="21">
        <f t="shared" si="1"/>
        <v>14</v>
      </c>
      <c r="I33" s="78">
        <v>1</v>
      </c>
      <c r="J33" s="66" t="s">
        <v>110</v>
      </c>
      <c r="K33" s="31"/>
      <c r="L33" s="14">
        <f t="shared" si="2"/>
        <v>0</v>
      </c>
      <c r="M33" s="81">
        <f t="shared" si="3"/>
        <v>0</v>
      </c>
    </row>
    <row r="34" spans="1:13" x14ac:dyDescent="0.25">
      <c r="A34" s="22" t="s">
        <v>20</v>
      </c>
      <c r="B34" s="15" t="s">
        <v>8</v>
      </c>
      <c r="C34" s="16">
        <v>10</v>
      </c>
      <c r="D34" s="17">
        <v>3497911101129</v>
      </c>
      <c r="E34" s="73">
        <v>1.3</v>
      </c>
      <c r="F34" s="21">
        <f t="shared" si="4"/>
        <v>13</v>
      </c>
      <c r="G34" s="21">
        <f t="shared" si="0"/>
        <v>1.4</v>
      </c>
      <c r="H34" s="21">
        <f t="shared" si="1"/>
        <v>14</v>
      </c>
      <c r="I34" s="78">
        <v>1</v>
      </c>
      <c r="J34" s="66" t="s">
        <v>111</v>
      </c>
      <c r="K34" s="31"/>
      <c r="L34" s="14">
        <f t="shared" si="2"/>
        <v>0</v>
      </c>
      <c r="M34" s="81">
        <f t="shared" si="3"/>
        <v>0</v>
      </c>
    </row>
    <row r="35" spans="1:13" x14ac:dyDescent="0.25">
      <c r="A35" s="22" t="s">
        <v>21</v>
      </c>
      <c r="B35" s="15" t="s">
        <v>8</v>
      </c>
      <c r="C35" s="16">
        <v>10</v>
      </c>
      <c r="D35" s="17">
        <v>3497911105127</v>
      </c>
      <c r="E35" s="73">
        <v>1.3</v>
      </c>
      <c r="F35" s="21">
        <f t="shared" si="4"/>
        <v>13</v>
      </c>
      <c r="G35" s="21">
        <f t="shared" si="0"/>
        <v>1.4</v>
      </c>
      <c r="H35" s="21">
        <f t="shared" si="1"/>
        <v>14</v>
      </c>
      <c r="I35" s="78">
        <v>1</v>
      </c>
      <c r="J35" s="66" t="s">
        <v>112</v>
      </c>
      <c r="K35" s="31"/>
      <c r="L35" s="14">
        <f t="shared" si="2"/>
        <v>0</v>
      </c>
      <c r="M35" s="81">
        <f t="shared" si="3"/>
        <v>0</v>
      </c>
    </row>
    <row r="36" spans="1:13" x14ac:dyDescent="0.25">
      <c r="A36" s="22" t="s">
        <v>22</v>
      </c>
      <c r="B36" s="15" t="s">
        <v>8</v>
      </c>
      <c r="C36" s="16">
        <v>10</v>
      </c>
      <c r="D36" s="17">
        <v>3497917000914</v>
      </c>
      <c r="E36" s="72">
        <v>1.4</v>
      </c>
      <c r="F36" s="21">
        <f t="shared" si="4"/>
        <v>14</v>
      </c>
      <c r="G36" s="21">
        <f t="shared" si="0"/>
        <v>1.5</v>
      </c>
      <c r="H36" s="21">
        <f t="shared" si="1"/>
        <v>15</v>
      </c>
      <c r="I36" s="78">
        <v>1</v>
      </c>
      <c r="J36" s="66" t="s">
        <v>113</v>
      </c>
      <c r="K36" s="31"/>
      <c r="L36" s="14">
        <f t="shared" si="2"/>
        <v>0</v>
      </c>
      <c r="M36" s="81">
        <f t="shared" si="3"/>
        <v>0</v>
      </c>
    </row>
    <row r="37" spans="1:13" x14ac:dyDescent="0.25">
      <c r="A37" s="22" t="s">
        <v>23</v>
      </c>
      <c r="B37" s="15" t="s">
        <v>8</v>
      </c>
      <c r="C37" s="16">
        <v>10</v>
      </c>
      <c r="D37" s="17">
        <v>3497917002161</v>
      </c>
      <c r="E37" s="72">
        <v>1.4</v>
      </c>
      <c r="F37" s="21">
        <f t="shared" si="4"/>
        <v>14</v>
      </c>
      <c r="G37" s="21">
        <f t="shared" si="0"/>
        <v>1.5</v>
      </c>
      <c r="H37" s="21">
        <f t="shared" si="1"/>
        <v>15</v>
      </c>
      <c r="I37" s="78">
        <v>1</v>
      </c>
      <c r="J37" s="66" t="s">
        <v>114</v>
      </c>
      <c r="K37" s="31"/>
      <c r="L37" s="14">
        <f t="shared" si="2"/>
        <v>0</v>
      </c>
      <c r="M37" s="81">
        <f t="shared" si="3"/>
        <v>0</v>
      </c>
    </row>
    <row r="38" spans="1:13" x14ac:dyDescent="0.25">
      <c r="A38" s="22" t="s">
        <v>24</v>
      </c>
      <c r="B38" s="15" t="s">
        <v>8</v>
      </c>
      <c r="C38" s="16">
        <v>10</v>
      </c>
      <c r="D38" s="17">
        <v>3497917002789</v>
      </c>
      <c r="E38" s="72">
        <v>1.4</v>
      </c>
      <c r="F38" s="21">
        <f t="shared" si="4"/>
        <v>14</v>
      </c>
      <c r="G38" s="21">
        <f t="shared" si="0"/>
        <v>1.5</v>
      </c>
      <c r="H38" s="21">
        <f t="shared" si="1"/>
        <v>15</v>
      </c>
      <c r="I38" s="78">
        <v>1</v>
      </c>
      <c r="J38" s="66" t="s">
        <v>115</v>
      </c>
      <c r="K38" s="31"/>
      <c r="L38" s="14">
        <f t="shared" si="2"/>
        <v>0</v>
      </c>
      <c r="M38" s="81">
        <f t="shared" si="3"/>
        <v>0</v>
      </c>
    </row>
    <row r="39" spans="1:13" x14ac:dyDescent="0.25">
      <c r="A39" s="22" t="s">
        <v>25</v>
      </c>
      <c r="B39" s="15" t="s">
        <v>8</v>
      </c>
      <c r="C39" s="16">
        <v>10</v>
      </c>
      <c r="D39" s="17">
        <v>3497917001928</v>
      </c>
      <c r="E39" s="72">
        <v>1.4</v>
      </c>
      <c r="F39" s="21">
        <f t="shared" si="4"/>
        <v>14</v>
      </c>
      <c r="G39" s="21">
        <f t="shared" si="0"/>
        <v>1.5</v>
      </c>
      <c r="H39" s="21">
        <f t="shared" si="1"/>
        <v>15</v>
      </c>
      <c r="I39" s="78">
        <v>1</v>
      </c>
      <c r="J39" s="66" t="s">
        <v>116</v>
      </c>
      <c r="K39" s="31"/>
      <c r="L39" s="14">
        <f t="shared" si="2"/>
        <v>0</v>
      </c>
      <c r="M39" s="81">
        <f t="shared" si="3"/>
        <v>0</v>
      </c>
    </row>
    <row r="40" spans="1:13" x14ac:dyDescent="0.25">
      <c r="A40" s="22" t="s">
        <v>26</v>
      </c>
      <c r="B40" s="15" t="s">
        <v>8</v>
      </c>
      <c r="C40" s="16">
        <v>10</v>
      </c>
      <c r="D40" s="17">
        <v>3497917001911</v>
      </c>
      <c r="E40" s="72">
        <v>1.4</v>
      </c>
      <c r="F40" s="21">
        <f t="shared" si="4"/>
        <v>14</v>
      </c>
      <c r="G40" s="21">
        <f t="shared" si="0"/>
        <v>1.5</v>
      </c>
      <c r="H40" s="21">
        <f t="shared" si="1"/>
        <v>15</v>
      </c>
      <c r="I40" s="78">
        <v>1</v>
      </c>
      <c r="J40" s="66" t="s">
        <v>117</v>
      </c>
      <c r="K40" s="31"/>
      <c r="L40" s="14">
        <f t="shared" si="2"/>
        <v>0</v>
      </c>
      <c r="M40" s="81">
        <f t="shared" si="3"/>
        <v>0</v>
      </c>
    </row>
    <row r="41" spans="1:13" x14ac:dyDescent="0.25">
      <c r="A41" s="22" t="s">
        <v>27</v>
      </c>
      <c r="B41" s="15" t="s">
        <v>8</v>
      </c>
      <c r="C41" s="16">
        <v>10</v>
      </c>
      <c r="D41" s="17">
        <v>3497917000518</v>
      </c>
      <c r="E41" s="72">
        <v>1.4</v>
      </c>
      <c r="F41" s="21">
        <f t="shared" si="4"/>
        <v>14</v>
      </c>
      <c r="G41" s="21">
        <f t="shared" si="0"/>
        <v>1.5</v>
      </c>
      <c r="H41" s="21">
        <f t="shared" si="1"/>
        <v>15</v>
      </c>
      <c r="I41" s="78">
        <v>1</v>
      </c>
      <c r="J41" s="66" t="s">
        <v>118</v>
      </c>
      <c r="K41" s="31"/>
      <c r="L41" s="14">
        <f t="shared" si="2"/>
        <v>0</v>
      </c>
      <c r="M41" s="81">
        <f t="shared" si="3"/>
        <v>0</v>
      </c>
    </row>
    <row r="42" spans="1:13" x14ac:dyDescent="0.25">
      <c r="A42" s="22" t="s">
        <v>28</v>
      </c>
      <c r="B42" s="15" t="s">
        <v>8</v>
      </c>
      <c r="C42" s="16">
        <v>10</v>
      </c>
      <c r="D42" s="17">
        <v>3497917000907</v>
      </c>
      <c r="E42" s="72">
        <v>1.4</v>
      </c>
      <c r="F42" s="21">
        <f t="shared" si="4"/>
        <v>14</v>
      </c>
      <c r="G42" s="21">
        <f t="shared" si="0"/>
        <v>1.5</v>
      </c>
      <c r="H42" s="21">
        <f t="shared" si="1"/>
        <v>15</v>
      </c>
      <c r="I42" s="78">
        <v>1</v>
      </c>
      <c r="J42" s="66" t="s">
        <v>119</v>
      </c>
      <c r="K42" s="31"/>
      <c r="L42" s="14">
        <f t="shared" si="2"/>
        <v>0</v>
      </c>
      <c r="M42" s="81">
        <f t="shared" si="3"/>
        <v>0</v>
      </c>
    </row>
    <row r="43" spans="1:13" x14ac:dyDescent="0.25">
      <c r="A43" s="22" t="s">
        <v>29</v>
      </c>
      <c r="B43" s="15" t="s">
        <v>8</v>
      </c>
      <c r="C43" s="16">
        <v>10</v>
      </c>
      <c r="D43" s="17">
        <v>3497917001263</v>
      </c>
      <c r="E43" s="72">
        <v>1.4</v>
      </c>
      <c r="F43" s="21">
        <f t="shared" si="4"/>
        <v>14</v>
      </c>
      <c r="G43" s="21">
        <f t="shared" si="0"/>
        <v>1.5</v>
      </c>
      <c r="H43" s="21">
        <f t="shared" si="1"/>
        <v>15</v>
      </c>
      <c r="I43" s="78">
        <v>1</v>
      </c>
      <c r="J43" s="66" t="s">
        <v>120</v>
      </c>
      <c r="K43" s="31"/>
      <c r="L43" s="14">
        <f t="shared" si="2"/>
        <v>0</v>
      </c>
      <c r="M43" s="81">
        <f t="shared" si="3"/>
        <v>0</v>
      </c>
    </row>
    <row r="44" spans="1:13" x14ac:dyDescent="0.25">
      <c r="A44" s="22" t="s">
        <v>30</v>
      </c>
      <c r="B44" s="15" t="s">
        <v>8</v>
      </c>
      <c r="C44" s="16">
        <v>10</v>
      </c>
      <c r="D44" s="17">
        <v>3497917002741</v>
      </c>
      <c r="E44" s="72">
        <v>1.4</v>
      </c>
      <c r="F44" s="21">
        <f t="shared" si="4"/>
        <v>14</v>
      </c>
      <c r="G44" s="21">
        <f t="shared" si="0"/>
        <v>1.5</v>
      </c>
      <c r="H44" s="21">
        <f t="shared" si="1"/>
        <v>15</v>
      </c>
      <c r="I44" s="78">
        <v>1</v>
      </c>
      <c r="J44" s="66" t="s">
        <v>121</v>
      </c>
      <c r="K44" s="31"/>
      <c r="L44" s="14">
        <f t="shared" si="2"/>
        <v>0</v>
      </c>
      <c r="M44" s="81">
        <f t="shared" si="3"/>
        <v>0</v>
      </c>
    </row>
    <row r="45" spans="1:13" x14ac:dyDescent="0.25">
      <c r="A45" s="22" t="s">
        <v>31</v>
      </c>
      <c r="B45" s="15" t="s">
        <v>8</v>
      </c>
      <c r="C45" s="16">
        <v>10</v>
      </c>
      <c r="D45" s="17">
        <v>3497917002352</v>
      </c>
      <c r="E45" s="72">
        <v>1.4</v>
      </c>
      <c r="F45" s="21">
        <f t="shared" si="4"/>
        <v>14</v>
      </c>
      <c r="G45" s="21">
        <f t="shared" si="0"/>
        <v>1.5</v>
      </c>
      <c r="H45" s="21">
        <f t="shared" si="1"/>
        <v>15</v>
      </c>
      <c r="I45" s="78">
        <v>1</v>
      </c>
      <c r="J45" s="66" t="s">
        <v>122</v>
      </c>
      <c r="K45" s="31"/>
      <c r="L45" s="14">
        <f t="shared" si="2"/>
        <v>0</v>
      </c>
      <c r="M45" s="81">
        <f t="shared" si="3"/>
        <v>0</v>
      </c>
    </row>
    <row r="46" spans="1:13" x14ac:dyDescent="0.25">
      <c r="A46" s="22" t="s">
        <v>32</v>
      </c>
      <c r="B46" s="15" t="s">
        <v>8</v>
      </c>
      <c r="C46" s="16">
        <v>10</v>
      </c>
      <c r="D46" s="17">
        <v>3497917001621</v>
      </c>
      <c r="E46" s="72">
        <v>1.4</v>
      </c>
      <c r="F46" s="21">
        <f t="shared" si="4"/>
        <v>14</v>
      </c>
      <c r="G46" s="21">
        <f t="shared" si="0"/>
        <v>1.5</v>
      </c>
      <c r="H46" s="21">
        <f t="shared" si="1"/>
        <v>15</v>
      </c>
      <c r="I46" s="78">
        <v>1</v>
      </c>
      <c r="J46" s="66" t="s">
        <v>123</v>
      </c>
      <c r="K46" s="31"/>
      <c r="L46" s="14">
        <f t="shared" si="2"/>
        <v>0</v>
      </c>
      <c r="M46" s="81">
        <f t="shared" si="3"/>
        <v>0</v>
      </c>
    </row>
    <row r="47" spans="1:13" x14ac:dyDescent="0.25">
      <c r="A47" s="22" t="s">
        <v>33</v>
      </c>
      <c r="B47" s="15" t="s">
        <v>8</v>
      </c>
      <c r="C47" s="16">
        <v>10</v>
      </c>
      <c r="D47" s="17">
        <v>3497917000938</v>
      </c>
      <c r="E47" s="72">
        <v>1.45</v>
      </c>
      <c r="F47" s="21">
        <f t="shared" si="4"/>
        <v>14.5</v>
      </c>
      <c r="G47" s="21">
        <f t="shared" si="0"/>
        <v>1.55</v>
      </c>
      <c r="H47" s="21">
        <f t="shared" si="1"/>
        <v>15.5</v>
      </c>
      <c r="I47" s="78">
        <v>1</v>
      </c>
      <c r="J47" s="66" t="s">
        <v>124</v>
      </c>
      <c r="K47" s="31"/>
      <c r="L47" s="14">
        <f t="shared" si="2"/>
        <v>0</v>
      </c>
      <c r="M47" s="81">
        <f t="shared" si="3"/>
        <v>0</v>
      </c>
    </row>
    <row r="48" spans="1:13" x14ac:dyDescent="0.25">
      <c r="A48" s="22" t="s">
        <v>34</v>
      </c>
      <c r="B48" s="15" t="s">
        <v>8</v>
      </c>
      <c r="C48" s="16">
        <v>10</v>
      </c>
      <c r="D48" s="17">
        <v>3497917003151</v>
      </c>
      <c r="E48" s="72">
        <v>1.45</v>
      </c>
      <c r="F48" s="21">
        <f t="shared" si="4"/>
        <v>14.5</v>
      </c>
      <c r="G48" s="21">
        <f t="shared" si="0"/>
        <v>1.55</v>
      </c>
      <c r="H48" s="21">
        <f t="shared" si="1"/>
        <v>15.5</v>
      </c>
      <c r="I48" s="78">
        <v>1</v>
      </c>
      <c r="J48" s="66" t="s">
        <v>125</v>
      </c>
      <c r="K48" s="31"/>
      <c r="L48" s="14">
        <f t="shared" si="2"/>
        <v>0</v>
      </c>
      <c r="M48" s="81">
        <f t="shared" si="3"/>
        <v>0</v>
      </c>
    </row>
    <row r="49" spans="1:13" x14ac:dyDescent="0.25">
      <c r="A49" s="22" t="s">
        <v>35</v>
      </c>
      <c r="B49" s="15" t="s">
        <v>8</v>
      </c>
      <c r="C49" s="16">
        <v>10</v>
      </c>
      <c r="D49" s="17">
        <v>3497917003168</v>
      </c>
      <c r="E49" s="72">
        <v>1.45</v>
      </c>
      <c r="F49" s="21">
        <f t="shared" si="4"/>
        <v>14.5</v>
      </c>
      <c r="G49" s="21">
        <f t="shared" si="0"/>
        <v>1.55</v>
      </c>
      <c r="H49" s="21">
        <f t="shared" si="1"/>
        <v>15.5</v>
      </c>
      <c r="I49" s="78">
        <v>1</v>
      </c>
      <c r="J49" s="66" t="s">
        <v>126</v>
      </c>
      <c r="K49" s="31"/>
      <c r="L49" s="14">
        <f t="shared" si="2"/>
        <v>0</v>
      </c>
      <c r="M49" s="81">
        <f t="shared" si="3"/>
        <v>0</v>
      </c>
    </row>
    <row r="50" spans="1:13" x14ac:dyDescent="0.25">
      <c r="A50" s="22" t="s">
        <v>36</v>
      </c>
      <c r="B50" s="15" t="s">
        <v>8</v>
      </c>
      <c r="C50" s="16">
        <v>10</v>
      </c>
      <c r="D50" s="17">
        <v>3497917003380</v>
      </c>
      <c r="E50" s="72">
        <v>1.45</v>
      </c>
      <c r="F50" s="21">
        <f t="shared" si="4"/>
        <v>14.5</v>
      </c>
      <c r="G50" s="21">
        <f t="shared" si="0"/>
        <v>1.55</v>
      </c>
      <c r="H50" s="21">
        <f t="shared" si="1"/>
        <v>15.5</v>
      </c>
      <c r="I50" s="78">
        <v>1</v>
      </c>
      <c r="J50" s="66" t="s">
        <v>127</v>
      </c>
      <c r="K50" s="31"/>
      <c r="L50" s="14">
        <f t="shared" si="2"/>
        <v>0</v>
      </c>
      <c r="M50" s="81">
        <f t="shared" si="3"/>
        <v>0</v>
      </c>
    </row>
    <row r="51" spans="1:13" x14ac:dyDescent="0.25">
      <c r="A51" s="22" t="s">
        <v>37</v>
      </c>
      <c r="B51" s="15" t="s">
        <v>8</v>
      </c>
      <c r="C51" s="16">
        <v>10</v>
      </c>
      <c r="D51" s="17">
        <v>3497917003540</v>
      </c>
      <c r="E51" s="72">
        <v>1.45</v>
      </c>
      <c r="F51" s="21">
        <f t="shared" si="4"/>
        <v>14.5</v>
      </c>
      <c r="G51" s="21">
        <f t="shared" si="0"/>
        <v>1.55</v>
      </c>
      <c r="H51" s="21">
        <f t="shared" si="1"/>
        <v>15.5</v>
      </c>
      <c r="I51" s="78">
        <v>1</v>
      </c>
      <c r="J51" s="66" t="s">
        <v>128</v>
      </c>
      <c r="K51" s="31"/>
      <c r="L51" s="14">
        <f t="shared" si="2"/>
        <v>0</v>
      </c>
      <c r="M51" s="81">
        <f t="shared" si="3"/>
        <v>0</v>
      </c>
    </row>
    <row r="52" spans="1:13" x14ac:dyDescent="0.25">
      <c r="A52" s="22" t="s">
        <v>38</v>
      </c>
      <c r="B52" s="15" t="s">
        <v>8</v>
      </c>
      <c r="C52" s="16">
        <v>10</v>
      </c>
      <c r="D52" s="17">
        <v>3497917003564</v>
      </c>
      <c r="E52" s="72">
        <v>1.45</v>
      </c>
      <c r="F52" s="21">
        <f t="shared" si="4"/>
        <v>14.5</v>
      </c>
      <c r="G52" s="21">
        <f t="shared" si="0"/>
        <v>1.55</v>
      </c>
      <c r="H52" s="21">
        <f t="shared" si="1"/>
        <v>15.5</v>
      </c>
      <c r="I52" s="78">
        <v>1</v>
      </c>
      <c r="J52" s="66" t="s">
        <v>129</v>
      </c>
      <c r="K52" s="31"/>
      <c r="L52" s="14">
        <f t="shared" si="2"/>
        <v>0</v>
      </c>
      <c r="M52" s="81">
        <f t="shared" si="3"/>
        <v>0</v>
      </c>
    </row>
    <row r="53" spans="1:13" x14ac:dyDescent="0.25">
      <c r="A53" s="22" t="s">
        <v>39</v>
      </c>
      <c r="B53" s="15" t="s">
        <v>8</v>
      </c>
      <c r="C53" s="16">
        <v>10</v>
      </c>
      <c r="D53" s="17">
        <v>3497917003588</v>
      </c>
      <c r="E53" s="72">
        <v>1.45</v>
      </c>
      <c r="F53" s="21">
        <f t="shared" si="4"/>
        <v>14.5</v>
      </c>
      <c r="G53" s="21">
        <f t="shared" si="0"/>
        <v>1.55</v>
      </c>
      <c r="H53" s="21">
        <f t="shared" si="1"/>
        <v>15.5</v>
      </c>
      <c r="I53" s="78">
        <v>1</v>
      </c>
      <c r="J53" s="66" t="s">
        <v>130</v>
      </c>
      <c r="K53" s="31"/>
      <c r="L53" s="14">
        <f t="shared" si="2"/>
        <v>0</v>
      </c>
      <c r="M53" s="81">
        <f t="shared" si="3"/>
        <v>0</v>
      </c>
    </row>
    <row r="54" spans="1:13" x14ac:dyDescent="0.25">
      <c r="A54" s="22" t="s">
        <v>40</v>
      </c>
      <c r="B54" s="15" t="s">
        <v>8</v>
      </c>
      <c r="C54" s="16">
        <v>10</v>
      </c>
      <c r="D54" s="17">
        <v>3497917003823</v>
      </c>
      <c r="E54" s="72">
        <v>1.45</v>
      </c>
      <c r="F54" s="21">
        <f t="shared" si="4"/>
        <v>14.5</v>
      </c>
      <c r="G54" s="21">
        <f t="shared" si="0"/>
        <v>1.55</v>
      </c>
      <c r="H54" s="21">
        <f t="shared" si="1"/>
        <v>15.5</v>
      </c>
      <c r="I54" s="78">
        <v>1</v>
      </c>
      <c r="J54" s="66" t="s">
        <v>131</v>
      </c>
      <c r="K54" s="31"/>
      <c r="L54" s="14">
        <f t="shared" si="2"/>
        <v>0</v>
      </c>
      <c r="M54" s="81">
        <f t="shared" si="3"/>
        <v>0</v>
      </c>
    </row>
    <row r="55" spans="1:13" x14ac:dyDescent="0.25">
      <c r="A55" s="22" t="s">
        <v>41</v>
      </c>
      <c r="B55" s="15" t="s">
        <v>8</v>
      </c>
      <c r="C55" s="16">
        <v>10</v>
      </c>
      <c r="D55" s="17">
        <v>3497917003809</v>
      </c>
      <c r="E55" s="72">
        <v>1.45</v>
      </c>
      <c r="F55" s="21">
        <f t="shared" si="4"/>
        <v>14.5</v>
      </c>
      <c r="G55" s="21">
        <f t="shared" si="0"/>
        <v>1.55</v>
      </c>
      <c r="H55" s="21">
        <f t="shared" si="1"/>
        <v>15.5</v>
      </c>
      <c r="I55" s="78">
        <v>1</v>
      </c>
      <c r="J55" s="66" t="s">
        <v>132</v>
      </c>
      <c r="K55" s="31"/>
      <c r="L55" s="14">
        <f t="shared" si="2"/>
        <v>0</v>
      </c>
      <c r="M55" s="81">
        <f t="shared" si="3"/>
        <v>0</v>
      </c>
    </row>
    <row r="56" spans="1:13" x14ac:dyDescent="0.25">
      <c r="A56" s="22" t="s">
        <v>42</v>
      </c>
      <c r="B56" s="15" t="s">
        <v>8</v>
      </c>
      <c r="C56" s="16">
        <v>10</v>
      </c>
      <c r="D56" s="17">
        <v>3497917003816</v>
      </c>
      <c r="E56" s="72">
        <v>1.45</v>
      </c>
      <c r="F56" s="21">
        <f t="shared" si="4"/>
        <v>14.5</v>
      </c>
      <c r="G56" s="21">
        <f t="shared" si="0"/>
        <v>1.55</v>
      </c>
      <c r="H56" s="21">
        <f t="shared" si="1"/>
        <v>15.5</v>
      </c>
      <c r="I56" s="78">
        <v>1</v>
      </c>
      <c r="J56" s="66" t="s">
        <v>133</v>
      </c>
      <c r="K56" s="31"/>
      <c r="L56" s="14">
        <f t="shared" si="2"/>
        <v>0</v>
      </c>
      <c r="M56" s="81">
        <f t="shared" si="3"/>
        <v>0</v>
      </c>
    </row>
    <row r="57" spans="1:13" x14ac:dyDescent="0.25">
      <c r="A57" s="22" t="s">
        <v>43</v>
      </c>
      <c r="B57" s="15" t="s">
        <v>8</v>
      </c>
      <c r="C57" s="16">
        <v>10</v>
      </c>
      <c r="D57" s="17">
        <v>3497917003854</v>
      </c>
      <c r="E57" s="72">
        <v>1.45</v>
      </c>
      <c r="F57" s="21">
        <f t="shared" si="4"/>
        <v>14.5</v>
      </c>
      <c r="G57" s="21">
        <f t="shared" si="0"/>
        <v>1.55</v>
      </c>
      <c r="H57" s="21">
        <f t="shared" si="1"/>
        <v>15.5</v>
      </c>
      <c r="I57" s="78">
        <v>1</v>
      </c>
      <c r="J57" s="66" t="s">
        <v>134</v>
      </c>
      <c r="K57" s="31"/>
      <c r="L57" s="14">
        <f t="shared" si="2"/>
        <v>0</v>
      </c>
      <c r="M57" s="81">
        <f t="shared" si="3"/>
        <v>0</v>
      </c>
    </row>
    <row r="58" spans="1:13" x14ac:dyDescent="0.25">
      <c r="A58" s="22" t="s">
        <v>44</v>
      </c>
      <c r="B58" s="15" t="s">
        <v>8</v>
      </c>
      <c r="C58" s="16">
        <v>10</v>
      </c>
      <c r="D58" s="17">
        <v>3497917003830</v>
      </c>
      <c r="E58" s="72">
        <v>1.45</v>
      </c>
      <c r="F58" s="21">
        <f t="shared" si="4"/>
        <v>14.5</v>
      </c>
      <c r="G58" s="21">
        <f t="shared" si="0"/>
        <v>1.55</v>
      </c>
      <c r="H58" s="21">
        <f t="shared" si="1"/>
        <v>15.5</v>
      </c>
      <c r="I58" s="78">
        <v>1</v>
      </c>
      <c r="J58" s="66" t="s">
        <v>135</v>
      </c>
      <c r="K58" s="31"/>
      <c r="L58" s="14">
        <f t="shared" si="2"/>
        <v>0</v>
      </c>
      <c r="M58" s="81">
        <f t="shared" si="3"/>
        <v>0</v>
      </c>
    </row>
    <row r="59" spans="1:13" x14ac:dyDescent="0.25">
      <c r="A59" s="22" t="s">
        <v>45</v>
      </c>
      <c r="B59" s="15" t="s">
        <v>8</v>
      </c>
      <c r="C59" s="16">
        <v>10</v>
      </c>
      <c r="D59" s="17">
        <v>3497917003847</v>
      </c>
      <c r="E59" s="72">
        <v>1.45</v>
      </c>
      <c r="F59" s="21">
        <f t="shared" si="4"/>
        <v>14.5</v>
      </c>
      <c r="G59" s="21">
        <f t="shared" si="0"/>
        <v>1.55</v>
      </c>
      <c r="H59" s="21">
        <f t="shared" si="1"/>
        <v>15.5</v>
      </c>
      <c r="I59" s="78">
        <v>1</v>
      </c>
      <c r="J59" s="66" t="s">
        <v>136</v>
      </c>
      <c r="K59" s="31"/>
      <c r="L59" s="14">
        <f t="shared" si="2"/>
        <v>0</v>
      </c>
      <c r="M59" s="81">
        <f t="shared" si="3"/>
        <v>0</v>
      </c>
    </row>
    <row r="60" spans="1:13" ht="15.75" thickBot="1" x14ac:dyDescent="0.3">
      <c r="A60" s="25"/>
      <c r="B60" s="15"/>
      <c r="C60" s="16"/>
      <c r="D60" s="17"/>
      <c r="E60" s="18"/>
      <c r="F60" s="21"/>
      <c r="G60" s="21"/>
      <c r="H60" s="21"/>
      <c r="I60" s="19"/>
      <c r="J60" s="67"/>
      <c r="K60" s="18"/>
      <c r="L60" s="14"/>
      <c r="M60" s="81"/>
    </row>
    <row r="61" spans="1:13" ht="15.75" thickBot="1" x14ac:dyDescent="0.3">
      <c r="A61" s="26" t="s">
        <v>88</v>
      </c>
      <c r="B61" s="27"/>
      <c r="C61" s="16"/>
      <c r="D61" s="17"/>
      <c r="E61" s="18"/>
      <c r="F61" s="21"/>
      <c r="G61" s="21"/>
      <c r="H61" s="21"/>
      <c r="I61" s="19"/>
      <c r="J61" s="67"/>
      <c r="K61" s="18"/>
      <c r="L61" s="14"/>
      <c r="M61" s="81"/>
    </row>
    <row r="62" spans="1:13" x14ac:dyDescent="0.25">
      <c r="A62" s="55" t="s">
        <v>77</v>
      </c>
      <c r="B62" s="15" t="s">
        <v>8</v>
      </c>
      <c r="C62" s="16">
        <v>10</v>
      </c>
      <c r="D62" s="17">
        <v>3497917005094</v>
      </c>
      <c r="E62" s="73">
        <v>1.5</v>
      </c>
      <c r="F62" s="21">
        <f t="shared" ref="F62:F70" si="5">E62*C62</f>
        <v>15</v>
      </c>
      <c r="G62" s="21">
        <f t="shared" si="0"/>
        <v>1.6</v>
      </c>
      <c r="H62" s="21">
        <f t="shared" si="1"/>
        <v>16</v>
      </c>
      <c r="I62" s="73">
        <v>1</v>
      </c>
      <c r="J62" s="71" t="s">
        <v>137</v>
      </c>
      <c r="K62" s="31"/>
      <c r="L62" s="14">
        <f t="shared" si="2"/>
        <v>0</v>
      </c>
      <c r="M62" s="81">
        <f t="shared" si="3"/>
        <v>0</v>
      </c>
    </row>
    <row r="63" spans="1:13" x14ac:dyDescent="0.25">
      <c r="A63" s="35" t="s">
        <v>46</v>
      </c>
      <c r="B63" s="15" t="s">
        <v>8</v>
      </c>
      <c r="C63" s="16">
        <v>10</v>
      </c>
      <c r="D63" s="23">
        <v>3497917004226</v>
      </c>
      <c r="E63" s="73">
        <v>1.5</v>
      </c>
      <c r="F63" s="21">
        <f t="shared" si="5"/>
        <v>15</v>
      </c>
      <c r="G63" s="21">
        <f t="shared" si="0"/>
        <v>1.6</v>
      </c>
      <c r="H63" s="21">
        <f t="shared" si="1"/>
        <v>16</v>
      </c>
      <c r="I63" s="78">
        <v>1</v>
      </c>
      <c r="J63" s="66" t="s">
        <v>138</v>
      </c>
      <c r="K63" s="31"/>
      <c r="L63" s="14">
        <f t="shared" si="2"/>
        <v>0</v>
      </c>
      <c r="M63" s="81">
        <f t="shared" si="3"/>
        <v>0</v>
      </c>
    </row>
    <row r="64" spans="1:13" x14ac:dyDescent="0.25">
      <c r="A64" s="35" t="s">
        <v>47</v>
      </c>
      <c r="B64" s="15" t="s">
        <v>8</v>
      </c>
      <c r="C64" s="16">
        <v>10</v>
      </c>
      <c r="D64" s="17">
        <v>3497917004233</v>
      </c>
      <c r="E64" s="73">
        <v>1.5</v>
      </c>
      <c r="F64" s="21">
        <f t="shared" si="5"/>
        <v>15</v>
      </c>
      <c r="G64" s="21">
        <f t="shared" si="0"/>
        <v>1.6</v>
      </c>
      <c r="H64" s="21">
        <f t="shared" si="1"/>
        <v>16</v>
      </c>
      <c r="I64" s="78">
        <v>1</v>
      </c>
      <c r="J64" s="66" t="s">
        <v>139</v>
      </c>
      <c r="K64" s="31"/>
      <c r="L64" s="14">
        <f t="shared" si="2"/>
        <v>0</v>
      </c>
      <c r="M64" s="81">
        <f t="shared" si="3"/>
        <v>0</v>
      </c>
    </row>
    <row r="65" spans="1:13" x14ac:dyDescent="0.25">
      <c r="A65" s="35" t="s">
        <v>48</v>
      </c>
      <c r="B65" s="15" t="s">
        <v>8</v>
      </c>
      <c r="C65" s="16">
        <v>10</v>
      </c>
      <c r="D65" s="17">
        <v>3497917004325</v>
      </c>
      <c r="E65" s="73">
        <v>1.5</v>
      </c>
      <c r="F65" s="21">
        <f t="shared" si="5"/>
        <v>15</v>
      </c>
      <c r="G65" s="21">
        <f t="shared" si="0"/>
        <v>1.6</v>
      </c>
      <c r="H65" s="21">
        <f t="shared" si="1"/>
        <v>16</v>
      </c>
      <c r="I65" s="78">
        <v>1</v>
      </c>
      <c r="J65" s="68" t="s">
        <v>140</v>
      </c>
      <c r="K65" s="31"/>
      <c r="L65" s="14">
        <f t="shared" si="2"/>
        <v>0</v>
      </c>
      <c r="M65" s="81">
        <f t="shared" si="3"/>
        <v>0</v>
      </c>
    </row>
    <row r="66" spans="1:13" x14ac:dyDescent="0.25">
      <c r="A66" s="35" t="s">
        <v>49</v>
      </c>
      <c r="B66" s="15" t="s">
        <v>8</v>
      </c>
      <c r="C66" s="16">
        <v>10</v>
      </c>
      <c r="D66" s="17">
        <v>3497917004257</v>
      </c>
      <c r="E66" s="73">
        <v>1.5</v>
      </c>
      <c r="F66" s="21">
        <f t="shared" si="5"/>
        <v>15</v>
      </c>
      <c r="G66" s="21">
        <f t="shared" si="0"/>
        <v>1.6</v>
      </c>
      <c r="H66" s="21">
        <f t="shared" si="1"/>
        <v>16</v>
      </c>
      <c r="I66" s="78">
        <v>1</v>
      </c>
      <c r="J66" s="66" t="s">
        <v>141</v>
      </c>
      <c r="K66" s="31"/>
      <c r="L66" s="14">
        <f t="shared" si="2"/>
        <v>0</v>
      </c>
      <c r="M66" s="81">
        <f t="shared" si="3"/>
        <v>0</v>
      </c>
    </row>
    <row r="67" spans="1:13" x14ac:dyDescent="0.25">
      <c r="A67" s="35" t="s">
        <v>50</v>
      </c>
      <c r="B67" s="15" t="s">
        <v>8</v>
      </c>
      <c r="C67" s="16">
        <v>10</v>
      </c>
      <c r="D67" s="17">
        <v>3497917004264</v>
      </c>
      <c r="E67" s="73">
        <v>1.5</v>
      </c>
      <c r="F67" s="21">
        <f t="shared" si="5"/>
        <v>15</v>
      </c>
      <c r="G67" s="21">
        <f t="shared" si="0"/>
        <v>1.6</v>
      </c>
      <c r="H67" s="21">
        <f t="shared" si="1"/>
        <v>16</v>
      </c>
      <c r="I67" s="78">
        <v>1</v>
      </c>
      <c r="J67" s="66" t="s">
        <v>142</v>
      </c>
      <c r="K67" s="31"/>
      <c r="L67" s="14">
        <f t="shared" si="2"/>
        <v>0</v>
      </c>
      <c r="M67" s="81">
        <f t="shared" si="3"/>
        <v>0</v>
      </c>
    </row>
    <row r="68" spans="1:13" x14ac:dyDescent="0.25">
      <c r="A68" s="35" t="s">
        <v>51</v>
      </c>
      <c r="B68" s="15" t="s">
        <v>8</v>
      </c>
      <c r="C68" s="16">
        <v>10</v>
      </c>
      <c r="D68" s="17">
        <v>3497917004271</v>
      </c>
      <c r="E68" s="73">
        <v>1.5</v>
      </c>
      <c r="F68" s="21">
        <f t="shared" si="5"/>
        <v>15</v>
      </c>
      <c r="G68" s="21">
        <f t="shared" si="0"/>
        <v>1.6</v>
      </c>
      <c r="H68" s="21">
        <f t="shared" si="1"/>
        <v>16</v>
      </c>
      <c r="I68" s="78">
        <v>1</v>
      </c>
      <c r="J68" s="66" t="s">
        <v>143</v>
      </c>
      <c r="K68" s="31"/>
      <c r="L68" s="14">
        <f t="shared" si="2"/>
        <v>0</v>
      </c>
      <c r="M68" s="81">
        <f t="shared" si="3"/>
        <v>0</v>
      </c>
    </row>
    <row r="69" spans="1:13" x14ac:dyDescent="0.25">
      <c r="A69" s="36" t="s">
        <v>52</v>
      </c>
      <c r="B69" s="15" t="s">
        <v>8</v>
      </c>
      <c r="C69" s="16">
        <v>10</v>
      </c>
      <c r="D69" s="17">
        <v>3497917004240</v>
      </c>
      <c r="E69" s="73">
        <v>2.7</v>
      </c>
      <c r="F69" s="21">
        <f t="shared" si="5"/>
        <v>27</v>
      </c>
      <c r="G69" s="21">
        <f t="shared" si="0"/>
        <v>2.8</v>
      </c>
      <c r="H69" s="21">
        <f t="shared" si="1"/>
        <v>28</v>
      </c>
      <c r="I69" s="78">
        <v>1</v>
      </c>
      <c r="J69" s="66" t="s">
        <v>144</v>
      </c>
      <c r="K69" s="31"/>
      <c r="L69" s="14">
        <f t="shared" si="2"/>
        <v>0</v>
      </c>
      <c r="M69" s="81">
        <f t="shared" si="3"/>
        <v>0</v>
      </c>
    </row>
    <row r="70" spans="1:13" x14ac:dyDescent="0.25">
      <c r="A70" s="36" t="s">
        <v>53</v>
      </c>
      <c r="B70" s="15" t="s">
        <v>8</v>
      </c>
      <c r="C70" s="16">
        <v>10</v>
      </c>
      <c r="D70" s="17">
        <v>3497917004738</v>
      </c>
      <c r="E70" s="73">
        <v>2.7</v>
      </c>
      <c r="F70" s="21">
        <f t="shared" si="5"/>
        <v>27</v>
      </c>
      <c r="G70" s="21">
        <f t="shared" si="0"/>
        <v>2.8</v>
      </c>
      <c r="H70" s="21">
        <f t="shared" si="1"/>
        <v>28</v>
      </c>
      <c r="I70" s="78">
        <v>1</v>
      </c>
      <c r="J70" s="66" t="s">
        <v>145</v>
      </c>
      <c r="K70" s="31"/>
      <c r="L70" s="14">
        <f t="shared" si="2"/>
        <v>0</v>
      </c>
      <c r="M70" s="81">
        <f t="shared" si="3"/>
        <v>0</v>
      </c>
    </row>
    <row r="71" spans="1:13" x14ac:dyDescent="0.25">
      <c r="A71" s="53"/>
      <c r="B71" s="15"/>
      <c r="C71" s="16"/>
      <c r="D71" s="17"/>
      <c r="E71" s="18"/>
      <c r="F71" s="19"/>
      <c r="G71" s="21"/>
      <c r="H71" s="21"/>
      <c r="I71" s="19"/>
      <c r="J71" s="67"/>
      <c r="K71" s="18"/>
      <c r="L71" s="14"/>
      <c r="M71" s="81"/>
    </row>
    <row r="72" spans="1:13" ht="15.75" thickBot="1" x14ac:dyDescent="0.3">
      <c r="A72" s="60" t="s">
        <v>83</v>
      </c>
      <c r="B72" s="61"/>
      <c r="C72" s="16"/>
      <c r="D72" s="17"/>
      <c r="E72" s="48"/>
      <c r="F72" s="19"/>
      <c r="G72" s="21"/>
      <c r="H72" s="21"/>
      <c r="I72" s="19"/>
      <c r="J72" s="67"/>
      <c r="K72" s="18"/>
      <c r="L72" s="14"/>
      <c r="M72" s="81"/>
    </row>
    <row r="73" spans="1:13" x14ac:dyDescent="0.25">
      <c r="A73" s="51" t="s">
        <v>84</v>
      </c>
      <c r="B73" s="15" t="s">
        <v>60</v>
      </c>
      <c r="C73" s="16">
        <v>12</v>
      </c>
      <c r="D73" s="23">
        <v>3497917004288</v>
      </c>
      <c r="E73" s="75">
        <v>2.2000000000000002</v>
      </c>
      <c r="F73" s="21">
        <f>E73*C73</f>
        <v>26.400000000000002</v>
      </c>
      <c r="G73" s="77">
        <f t="shared" si="0"/>
        <v>2.2833333333333337</v>
      </c>
      <c r="H73" s="21">
        <f t="shared" si="1"/>
        <v>27.400000000000002</v>
      </c>
      <c r="I73" s="78">
        <v>1</v>
      </c>
      <c r="J73" s="66" t="s">
        <v>150</v>
      </c>
      <c r="K73" s="31"/>
      <c r="L73" s="14">
        <f t="shared" si="2"/>
        <v>0</v>
      </c>
      <c r="M73" s="81">
        <f t="shared" si="3"/>
        <v>0</v>
      </c>
    </row>
    <row r="74" spans="1:13" x14ac:dyDescent="0.25">
      <c r="A74" s="46" t="s">
        <v>85</v>
      </c>
      <c r="B74" s="15" t="s">
        <v>60</v>
      </c>
      <c r="C74" s="16">
        <v>12</v>
      </c>
      <c r="D74" s="47">
        <v>3497917004301</v>
      </c>
      <c r="E74" s="75">
        <v>2.2000000000000002</v>
      </c>
      <c r="F74" s="21">
        <f>E74*C74</f>
        <v>26.400000000000002</v>
      </c>
      <c r="G74" s="77">
        <f t="shared" si="0"/>
        <v>2.2833333333333337</v>
      </c>
      <c r="H74" s="21">
        <f t="shared" si="1"/>
        <v>27.400000000000002</v>
      </c>
      <c r="I74" s="78">
        <v>1</v>
      </c>
      <c r="J74" s="66" t="s">
        <v>151</v>
      </c>
      <c r="K74" s="31"/>
      <c r="L74" s="14">
        <f t="shared" si="2"/>
        <v>0</v>
      </c>
      <c r="M74" s="81">
        <f t="shared" si="3"/>
        <v>0</v>
      </c>
    </row>
    <row r="75" spans="1:13" x14ac:dyDescent="0.25">
      <c r="A75" s="46" t="s">
        <v>86</v>
      </c>
      <c r="B75" s="15" t="s">
        <v>60</v>
      </c>
      <c r="C75" s="16">
        <v>12</v>
      </c>
      <c r="D75" s="17">
        <v>3497917004318</v>
      </c>
      <c r="E75" s="75">
        <v>2.2000000000000002</v>
      </c>
      <c r="F75" s="21">
        <f>E75*C75</f>
        <v>26.400000000000002</v>
      </c>
      <c r="G75" s="77">
        <f t="shared" si="0"/>
        <v>2.2833333333333337</v>
      </c>
      <c r="H75" s="21">
        <f t="shared" si="1"/>
        <v>27.400000000000002</v>
      </c>
      <c r="I75" s="78">
        <v>1</v>
      </c>
      <c r="J75" s="66" t="s">
        <v>152</v>
      </c>
      <c r="K75" s="31"/>
      <c r="L75" s="14">
        <f t="shared" si="2"/>
        <v>0</v>
      </c>
      <c r="M75" s="81">
        <f t="shared" si="3"/>
        <v>0</v>
      </c>
    </row>
    <row r="76" spans="1:13" x14ac:dyDescent="0.25">
      <c r="A76" s="46" t="s">
        <v>87</v>
      </c>
      <c r="B76" s="15" t="s">
        <v>60</v>
      </c>
      <c r="C76" s="16">
        <v>12</v>
      </c>
      <c r="D76" s="17">
        <v>3497917004295</v>
      </c>
      <c r="E76" s="75">
        <v>2.2000000000000002</v>
      </c>
      <c r="F76" s="21">
        <f>E76*C76</f>
        <v>26.400000000000002</v>
      </c>
      <c r="G76" s="77">
        <f t="shared" si="0"/>
        <v>2.2833333333333337</v>
      </c>
      <c r="H76" s="21">
        <f t="shared" si="1"/>
        <v>27.400000000000002</v>
      </c>
      <c r="I76" s="78">
        <v>1</v>
      </c>
      <c r="J76" s="66" t="s">
        <v>153</v>
      </c>
      <c r="K76" s="31"/>
      <c r="L76" s="14">
        <f t="shared" si="2"/>
        <v>0</v>
      </c>
      <c r="M76" s="81">
        <f t="shared" si="3"/>
        <v>0</v>
      </c>
    </row>
    <row r="77" spans="1:13" ht="15.75" thickBot="1" x14ac:dyDescent="0.3">
      <c r="A77" s="49"/>
      <c r="B77" s="15"/>
      <c r="C77" s="16"/>
      <c r="D77" s="17"/>
      <c r="E77" s="48"/>
      <c r="F77" s="19"/>
      <c r="G77" s="21"/>
      <c r="H77" s="21"/>
      <c r="I77" s="19"/>
      <c r="J77" s="67"/>
      <c r="K77" s="18"/>
      <c r="L77" s="14"/>
      <c r="M77" s="81"/>
    </row>
    <row r="78" spans="1:13" ht="15.75" thickBot="1" x14ac:dyDescent="0.3">
      <c r="A78" s="50" t="s">
        <v>54</v>
      </c>
      <c r="B78" s="27"/>
      <c r="C78" s="16"/>
      <c r="D78" s="17"/>
      <c r="E78" s="18"/>
      <c r="F78" s="19"/>
      <c r="G78" s="21"/>
      <c r="H78" s="21"/>
      <c r="I78" s="19"/>
      <c r="J78" s="67"/>
      <c r="K78" s="18"/>
      <c r="L78" s="14"/>
      <c r="M78" s="81"/>
    </row>
    <row r="79" spans="1:13" x14ac:dyDescent="0.25">
      <c r="A79" s="8" t="s">
        <v>55</v>
      </c>
      <c r="B79" s="15" t="s">
        <v>56</v>
      </c>
      <c r="C79" s="16">
        <v>10</v>
      </c>
      <c r="D79" s="24">
        <v>3497917003618</v>
      </c>
      <c r="E79" s="72">
        <v>1.75</v>
      </c>
      <c r="F79" s="21">
        <f>E79*C79</f>
        <v>17.5</v>
      </c>
      <c r="G79" s="21">
        <f t="shared" ref="G79:G94" si="6">H79/C79</f>
        <v>1.85</v>
      </c>
      <c r="H79" s="21">
        <f t="shared" ref="H79:H84" si="7">I79+F79</f>
        <v>18.5</v>
      </c>
      <c r="I79" s="78">
        <v>1</v>
      </c>
      <c r="J79" s="70" t="s">
        <v>154</v>
      </c>
      <c r="K79" s="31"/>
      <c r="L79" s="14">
        <f t="shared" ref="L79:L94" si="8">H79*K79</f>
        <v>0</v>
      </c>
      <c r="M79" s="81">
        <f t="shared" ref="M79:M94" si="9">K79*I79</f>
        <v>0</v>
      </c>
    </row>
    <row r="80" spans="1:13" x14ac:dyDescent="0.25">
      <c r="A80" s="22" t="s">
        <v>92</v>
      </c>
      <c r="B80" s="15" t="s">
        <v>56</v>
      </c>
      <c r="C80" s="16">
        <v>10</v>
      </c>
      <c r="D80" s="17">
        <v>3497917003694</v>
      </c>
      <c r="E80" s="72">
        <v>1.95</v>
      </c>
      <c r="F80" s="21">
        <f>E80*C80</f>
        <v>19.5</v>
      </c>
      <c r="G80" s="21">
        <f t="shared" si="6"/>
        <v>2.0499999999999998</v>
      </c>
      <c r="H80" s="21">
        <f t="shared" si="7"/>
        <v>20.5</v>
      </c>
      <c r="I80" s="78">
        <v>1</v>
      </c>
      <c r="J80" s="66" t="s">
        <v>155</v>
      </c>
      <c r="K80" s="31"/>
      <c r="L80" s="14">
        <f t="shared" si="8"/>
        <v>0</v>
      </c>
      <c r="M80" s="81">
        <f t="shared" si="9"/>
        <v>0</v>
      </c>
    </row>
    <row r="81" spans="1:15" ht="15.75" thickBot="1" x14ac:dyDescent="0.3">
      <c r="A81" s="25" t="s">
        <v>57</v>
      </c>
      <c r="B81" s="15"/>
      <c r="C81" s="16"/>
      <c r="D81" s="17"/>
      <c r="E81" s="18"/>
      <c r="F81" s="19"/>
      <c r="G81" s="21"/>
      <c r="H81" s="21"/>
      <c r="I81" s="19"/>
      <c r="J81" s="67"/>
      <c r="K81" s="18"/>
      <c r="L81" s="14"/>
      <c r="M81" s="81"/>
    </row>
    <row r="82" spans="1:15" ht="15.75" thickBot="1" x14ac:dyDescent="0.3">
      <c r="A82" s="26" t="s">
        <v>58</v>
      </c>
      <c r="B82" s="27"/>
      <c r="C82" s="16"/>
      <c r="D82" s="17"/>
      <c r="E82" s="18"/>
      <c r="F82" s="19"/>
      <c r="G82" s="21"/>
      <c r="H82" s="21"/>
      <c r="I82" s="19"/>
      <c r="J82" s="67"/>
      <c r="K82" s="18"/>
      <c r="L82" s="14"/>
      <c r="M82" s="81"/>
    </row>
    <row r="83" spans="1:15" x14ac:dyDescent="0.25">
      <c r="A83" s="8" t="s">
        <v>59</v>
      </c>
      <c r="B83" s="15" t="s">
        <v>60</v>
      </c>
      <c r="C83" s="16">
        <v>10</v>
      </c>
      <c r="D83" s="17">
        <v>3497914000009</v>
      </c>
      <c r="E83" s="72">
        <v>1.7</v>
      </c>
      <c r="F83" s="21">
        <f>E83*C83</f>
        <v>17</v>
      </c>
      <c r="G83" s="21">
        <f t="shared" si="6"/>
        <v>1.8</v>
      </c>
      <c r="H83" s="21">
        <f t="shared" si="7"/>
        <v>18</v>
      </c>
      <c r="I83" s="78">
        <v>1</v>
      </c>
      <c r="J83" s="66" t="s">
        <v>156</v>
      </c>
      <c r="K83" s="31"/>
      <c r="L83" s="14">
        <f t="shared" si="8"/>
        <v>0</v>
      </c>
      <c r="M83" s="81">
        <f t="shared" si="9"/>
        <v>0</v>
      </c>
    </row>
    <row r="84" spans="1:15" x14ac:dyDescent="0.25">
      <c r="A84" s="22" t="s">
        <v>61</v>
      </c>
      <c r="B84" s="15" t="s">
        <v>60</v>
      </c>
      <c r="C84" s="16">
        <v>10</v>
      </c>
      <c r="D84" s="17">
        <v>3497917000792</v>
      </c>
      <c r="E84" s="72">
        <v>1.9</v>
      </c>
      <c r="F84" s="21">
        <f>E84*C84</f>
        <v>19</v>
      </c>
      <c r="G84" s="21">
        <f t="shared" si="6"/>
        <v>2</v>
      </c>
      <c r="H84" s="21">
        <f t="shared" si="7"/>
        <v>20</v>
      </c>
      <c r="I84" s="78">
        <v>1</v>
      </c>
      <c r="J84" s="66" t="s">
        <v>157</v>
      </c>
      <c r="K84" s="31"/>
      <c r="L84" s="14">
        <f t="shared" si="8"/>
        <v>0</v>
      </c>
      <c r="M84" s="81">
        <f t="shared" si="9"/>
        <v>0</v>
      </c>
    </row>
    <row r="85" spans="1:15" ht="15.75" thickBot="1" x14ac:dyDescent="0.3">
      <c r="A85" s="28"/>
      <c r="B85" s="29"/>
      <c r="C85" s="29"/>
      <c r="D85" s="30"/>
      <c r="E85" s="18"/>
      <c r="F85" s="19"/>
      <c r="G85" s="21"/>
      <c r="H85" s="21"/>
      <c r="I85" s="19"/>
      <c r="J85" s="67"/>
      <c r="K85" s="18"/>
      <c r="L85" s="14"/>
      <c r="M85" s="81"/>
      <c r="O85" s="76"/>
    </row>
    <row r="86" spans="1:15" ht="15.75" thickBot="1" x14ac:dyDescent="0.3">
      <c r="A86" s="26" t="s">
        <v>62</v>
      </c>
      <c r="B86" s="27"/>
      <c r="C86" s="16"/>
      <c r="D86" s="17"/>
      <c r="E86" s="18"/>
      <c r="F86" s="18"/>
      <c r="G86" s="14"/>
      <c r="H86" s="81"/>
      <c r="I86" s="83"/>
      <c r="J86" s="84"/>
      <c r="K86" s="18"/>
      <c r="L86" s="14"/>
      <c r="M86" s="81"/>
    </row>
    <row r="87" spans="1:15" x14ac:dyDescent="0.25">
      <c r="A87" s="8" t="s">
        <v>90</v>
      </c>
      <c r="B87" s="15" t="s">
        <v>79</v>
      </c>
      <c r="C87" s="16">
        <v>10</v>
      </c>
      <c r="D87" s="17">
        <v>3497917002721</v>
      </c>
      <c r="E87" s="72">
        <v>1.2</v>
      </c>
      <c r="F87" s="21">
        <f>E87*C87</f>
        <v>12</v>
      </c>
      <c r="G87" s="21">
        <f t="shared" si="6"/>
        <v>1.3</v>
      </c>
      <c r="H87" s="21">
        <f>I87+F87</f>
        <v>13</v>
      </c>
      <c r="I87" s="78">
        <v>1</v>
      </c>
      <c r="J87" s="66" t="s">
        <v>158</v>
      </c>
      <c r="K87" s="31"/>
      <c r="L87" s="14">
        <f t="shared" si="8"/>
        <v>0</v>
      </c>
      <c r="M87" s="81">
        <f t="shared" si="9"/>
        <v>0</v>
      </c>
    </row>
    <row r="88" spans="1:15" x14ac:dyDescent="0.25">
      <c r="A88" s="22" t="s">
        <v>63</v>
      </c>
      <c r="B88" s="15" t="s">
        <v>56</v>
      </c>
      <c r="C88" s="16">
        <v>10</v>
      </c>
      <c r="D88" s="17">
        <v>3497917002451</v>
      </c>
      <c r="E88" s="72">
        <v>2.6</v>
      </c>
      <c r="F88" s="21">
        <f>E88*C88</f>
        <v>26</v>
      </c>
      <c r="G88" s="21">
        <f t="shared" si="6"/>
        <v>2.7</v>
      </c>
      <c r="H88" s="21">
        <f>I88+F88</f>
        <v>27</v>
      </c>
      <c r="I88" s="78">
        <v>1</v>
      </c>
      <c r="J88" s="66" t="s">
        <v>159</v>
      </c>
      <c r="K88" s="31"/>
      <c r="L88" s="14">
        <f t="shared" si="8"/>
        <v>0</v>
      </c>
      <c r="M88" s="81">
        <f t="shared" si="9"/>
        <v>0</v>
      </c>
    </row>
    <row r="89" spans="1:15" x14ac:dyDescent="0.25">
      <c r="A89" s="22" t="s">
        <v>64</v>
      </c>
      <c r="B89" s="15" t="s">
        <v>56</v>
      </c>
      <c r="C89" s="16">
        <v>10</v>
      </c>
      <c r="D89" s="17">
        <v>3497917002475</v>
      </c>
      <c r="E89" s="72">
        <v>2.65</v>
      </c>
      <c r="F89" s="21">
        <f>E89*C89</f>
        <v>26.5</v>
      </c>
      <c r="G89" s="21">
        <f t="shared" si="6"/>
        <v>2.75</v>
      </c>
      <c r="H89" s="21">
        <f>I89+F89</f>
        <v>27.5</v>
      </c>
      <c r="I89" s="78">
        <v>1</v>
      </c>
      <c r="J89" s="69" t="s">
        <v>160</v>
      </c>
      <c r="K89" s="31"/>
      <c r="L89" s="14">
        <f t="shared" si="8"/>
        <v>0</v>
      </c>
      <c r="M89" s="81">
        <f t="shared" si="9"/>
        <v>0</v>
      </c>
    </row>
    <row r="90" spans="1:15" ht="15.75" thickBot="1" x14ac:dyDescent="0.3">
      <c r="A90" s="25"/>
      <c r="B90" s="15"/>
      <c r="C90" s="16"/>
      <c r="D90" s="17"/>
      <c r="E90" s="18"/>
      <c r="F90" s="19"/>
      <c r="G90" s="21"/>
      <c r="H90" s="21"/>
      <c r="I90" s="19"/>
      <c r="J90" s="67"/>
      <c r="K90" s="18"/>
      <c r="L90" s="14"/>
      <c r="M90" s="81"/>
    </row>
    <row r="91" spans="1:15" ht="15.75" thickBot="1" x14ac:dyDescent="0.3">
      <c r="A91" s="26" t="s">
        <v>65</v>
      </c>
      <c r="B91" s="27"/>
      <c r="C91" s="16"/>
      <c r="D91" s="17"/>
      <c r="E91" s="18"/>
      <c r="F91" s="19"/>
      <c r="G91" s="21"/>
      <c r="H91" s="21"/>
      <c r="I91" s="19"/>
      <c r="J91" s="67"/>
      <c r="K91" s="18"/>
      <c r="L91" s="14"/>
      <c r="M91" s="81"/>
    </row>
    <row r="92" spans="1:15" x14ac:dyDescent="0.25">
      <c r="A92" s="8" t="s">
        <v>66</v>
      </c>
      <c r="B92" s="15" t="s">
        <v>67</v>
      </c>
      <c r="C92" s="16">
        <v>8</v>
      </c>
      <c r="D92" s="17">
        <v>3760326670079</v>
      </c>
      <c r="E92" s="72">
        <v>2.4</v>
      </c>
      <c r="F92" s="21">
        <f>E92*C92</f>
        <v>19.2</v>
      </c>
      <c r="G92" s="77">
        <f t="shared" si="6"/>
        <v>2.5249999999999999</v>
      </c>
      <c r="H92" s="21">
        <f>I92+F92</f>
        <v>20.2</v>
      </c>
      <c r="I92" s="78">
        <v>1</v>
      </c>
      <c r="J92" s="66" t="s">
        <v>161</v>
      </c>
      <c r="K92" s="31"/>
      <c r="L92" s="14">
        <f t="shared" si="8"/>
        <v>0</v>
      </c>
      <c r="M92" s="81">
        <f t="shared" si="9"/>
        <v>0</v>
      </c>
    </row>
    <row r="93" spans="1:15" x14ac:dyDescent="0.25">
      <c r="A93" s="22" t="s">
        <v>68</v>
      </c>
      <c r="B93" s="15" t="s">
        <v>67</v>
      </c>
      <c r="C93" s="16">
        <v>8</v>
      </c>
      <c r="D93" s="17">
        <v>3760326670093</v>
      </c>
      <c r="E93" s="72">
        <v>2.5</v>
      </c>
      <c r="F93" s="21">
        <f>E93*C93</f>
        <v>20</v>
      </c>
      <c r="G93" s="77">
        <f t="shared" si="6"/>
        <v>2.625</v>
      </c>
      <c r="H93" s="21">
        <f>I93+F93</f>
        <v>21</v>
      </c>
      <c r="I93" s="78">
        <v>1</v>
      </c>
      <c r="J93" s="66" t="s">
        <v>162</v>
      </c>
      <c r="K93" s="32"/>
      <c r="L93" s="14">
        <f t="shared" si="8"/>
        <v>0</v>
      </c>
      <c r="M93" s="81">
        <f t="shared" si="9"/>
        <v>0</v>
      </c>
    </row>
    <row r="94" spans="1:15" ht="15.75" thickBot="1" x14ac:dyDescent="0.3">
      <c r="A94" s="22" t="s">
        <v>69</v>
      </c>
      <c r="B94" s="15" t="s">
        <v>67</v>
      </c>
      <c r="C94" s="16">
        <v>8</v>
      </c>
      <c r="D94" s="17">
        <v>3760326670086</v>
      </c>
      <c r="E94" s="72">
        <v>2.65</v>
      </c>
      <c r="F94" s="58">
        <f>E94*C94</f>
        <v>21.2</v>
      </c>
      <c r="G94" s="77">
        <f t="shared" si="6"/>
        <v>2.7749999999999999</v>
      </c>
      <c r="H94" s="21">
        <f>I94+F94</f>
        <v>22.2</v>
      </c>
      <c r="I94" s="78">
        <v>1</v>
      </c>
      <c r="J94" s="66" t="s">
        <v>163</v>
      </c>
      <c r="K94" s="32"/>
      <c r="L94" s="14">
        <f t="shared" si="8"/>
        <v>0</v>
      </c>
      <c r="M94" s="82">
        <f t="shared" si="9"/>
        <v>0</v>
      </c>
    </row>
    <row r="95" spans="1:15" ht="18" thickBot="1" x14ac:dyDescent="0.35">
      <c r="F95" s="59" t="s">
        <v>89</v>
      </c>
      <c r="G95" s="63"/>
      <c r="H95" s="63"/>
      <c r="I95" s="63"/>
      <c r="J95" s="63"/>
      <c r="K95" s="33">
        <f>SUM(K12:K94)</f>
        <v>0</v>
      </c>
      <c r="L95" s="34">
        <f>SUM(L13:L94)</f>
        <v>0</v>
      </c>
      <c r="M95" s="59">
        <f>SUM(M13:M94)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Berthon [KARL ET LEON]</dc:creator>
  <cp:lastModifiedBy>Raphael Berthon [KARL ET LEON]</cp:lastModifiedBy>
  <dcterms:created xsi:type="dcterms:W3CDTF">2026-03-04T17:01:12Z</dcterms:created>
  <dcterms:modified xsi:type="dcterms:W3CDTF">2026-04-28T21:27:28Z</dcterms:modified>
</cp:coreProperties>
</file>