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arthurhenry/Desktop/"/>
    </mc:Choice>
  </mc:AlternateContent>
  <xr:revisionPtr revIDLastSave="0" documentId="8_{5F29CEC2-EB0E-964F-AAF4-7639D0C79C49}" xr6:coauthVersionLast="47" xr6:coauthVersionMax="47" xr10:uidLastSave="{00000000-0000-0000-0000-000000000000}"/>
  <bookViews>
    <workbookView xWindow="0" yWindow="0" windowWidth="68800" windowHeight="28800" xr2:uid="{00000000-000D-0000-FFFF-FFFF00000000}"/>
  </bookViews>
  <sheets>
    <sheet name="Feuil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3a6s3R++nwXyDUoTdZiXwzzqY51+vs6CPUgY+QNGw24="/>
    </ext>
  </extLst>
</workbook>
</file>

<file path=xl/calcChain.xml><?xml version="1.0" encoding="utf-8"?>
<calcChain xmlns="http://schemas.openxmlformats.org/spreadsheetml/2006/main">
  <c r="L84" i="1" l="1"/>
  <c r="L83" i="1"/>
  <c r="L82" i="1"/>
  <c r="L81" i="1"/>
  <c r="L80" i="1"/>
  <c r="L79" i="1"/>
  <c r="L78" i="1"/>
  <c r="L77" i="1"/>
  <c r="L76" i="1"/>
  <c r="L75" i="1"/>
  <c r="H86" i="1"/>
  <c r="F17" i="1"/>
  <c r="H17" i="1" s="1"/>
  <c r="F18" i="1"/>
  <c r="H18" i="1" s="1"/>
  <c r="F20" i="1"/>
  <c r="H20" i="1" s="1"/>
  <c r="F21" i="1"/>
  <c r="H21" i="1" s="1"/>
  <c r="F22" i="1"/>
  <c r="H22" i="1" s="1"/>
  <c r="F23" i="1"/>
  <c r="H23" i="1" s="1"/>
  <c r="F24" i="1"/>
  <c r="H24" i="1" s="1"/>
  <c r="F25" i="1"/>
  <c r="H25" i="1" s="1"/>
  <c r="F26" i="1"/>
  <c r="H26" i="1" s="1"/>
  <c r="F27" i="1"/>
  <c r="H27" i="1" s="1"/>
  <c r="F28" i="1"/>
  <c r="H28" i="1" s="1"/>
  <c r="F29" i="1"/>
  <c r="H29" i="1" s="1"/>
  <c r="F30" i="1"/>
  <c r="H30" i="1" s="1"/>
  <c r="F31" i="1"/>
  <c r="H31" i="1" s="1"/>
  <c r="F32" i="1"/>
  <c r="H32" i="1" s="1"/>
  <c r="F34" i="1"/>
  <c r="H34" i="1" s="1"/>
  <c r="F35" i="1"/>
  <c r="H35" i="1" s="1"/>
  <c r="F36" i="1"/>
  <c r="H36" i="1" s="1"/>
  <c r="F37" i="1"/>
  <c r="H37" i="1" s="1"/>
  <c r="F38" i="1"/>
  <c r="H38" i="1" s="1"/>
  <c r="F39" i="1"/>
  <c r="H39" i="1" s="1"/>
  <c r="F40" i="1"/>
  <c r="H40" i="1" s="1"/>
  <c r="F41" i="1"/>
  <c r="H41" i="1" s="1"/>
  <c r="F42" i="1"/>
  <c r="H42" i="1" s="1"/>
  <c r="F43" i="1"/>
  <c r="H43" i="1" s="1"/>
  <c r="F44" i="1"/>
  <c r="H44" i="1" s="1"/>
  <c r="F45" i="1"/>
  <c r="H45" i="1" s="1"/>
  <c r="F47" i="1"/>
  <c r="F49" i="1"/>
  <c r="H49" i="1" s="1"/>
  <c r="F50" i="1"/>
  <c r="H50" i="1" s="1"/>
  <c r="F51" i="1"/>
  <c r="F52" i="1"/>
  <c r="H52" i="1" s="1"/>
  <c r="F54" i="1"/>
  <c r="H54" i="1" s="1"/>
  <c r="F55" i="1"/>
  <c r="H55" i="1" s="1"/>
  <c r="F57" i="1"/>
  <c r="H57" i="1" s="1"/>
  <c r="F58" i="1"/>
  <c r="H58" i="1" s="1"/>
  <c r="F59" i="1"/>
  <c r="H59" i="1" s="1"/>
  <c r="F60" i="1"/>
  <c r="H60" i="1" s="1"/>
  <c r="F63" i="1"/>
  <c r="H63" i="1" s="1"/>
  <c r="F64" i="1"/>
  <c r="H64" i="1" s="1"/>
  <c r="F65" i="1"/>
  <c r="H65" i="1" s="1"/>
  <c r="F66" i="1"/>
  <c r="H66" i="1" s="1"/>
  <c r="F67" i="1"/>
  <c r="H67" i="1" s="1"/>
  <c r="F68" i="1"/>
  <c r="H68" i="1" s="1"/>
  <c r="F69" i="1"/>
  <c r="H69" i="1" s="1"/>
  <c r="F70" i="1"/>
  <c r="H70" i="1" s="1"/>
  <c r="F71" i="1"/>
  <c r="H71" i="1" s="1"/>
  <c r="F72" i="1"/>
  <c r="H72" i="1" s="1"/>
  <c r="F73" i="1"/>
  <c r="H73" i="1" s="1"/>
  <c r="F74" i="1"/>
  <c r="H74" i="1" s="1"/>
  <c r="F75" i="1"/>
  <c r="H75" i="1" s="1"/>
  <c r="F76" i="1"/>
  <c r="H76" i="1" s="1"/>
  <c r="F77" i="1"/>
  <c r="H77" i="1" s="1"/>
  <c r="F78" i="1"/>
  <c r="H78" i="1" s="1"/>
  <c r="F79" i="1"/>
  <c r="H79" i="1" s="1"/>
  <c r="F80" i="1"/>
  <c r="H80" i="1" s="1"/>
  <c r="F81" i="1"/>
  <c r="H81" i="1" s="1"/>
  <c r="F82" i="1"/>
  <c r="H82" i="1" s="1"/>
  <c r="F85" i="1"/>
  <c r="H85" i="1" s="1"/>
  <c r="F87" i="1"/>
  <c r="H87" i="1" s="1"/>
  <c r="F88" i="1"/>
  <c r="H88" i="1" s="1"/>
  <c r="F89" i="1"/>
  <c r="H89" i="1" s="1"/>
  <c r="F16" i="1"/>
  <c r="H16" i="1" s="1"/>
  <c r="H7" i="1"/>
  <c r="H8" i="1"/>
  <c r="H9" i="1"/>
  <c r="H10" i="1"/>
  <c r="H11" i="1"/>
  <c r="H12" i="1"/>
  <c r="H13" i="1"/>
  <c r="H14" i="1"/>
  <c r="H47" i="1"/>
  <c r="H51" i="1"/>
  <c r="H62" i="1"/>
  <c r="H84" i="1"/>
  <c r="H6" i="1"/>
  <c r="G90" i="1"/>
  <c r="H90" i="1" l="1"/>
</calcChain>
</file>

<file path=xl/sharedStrings.xml><?xml version="1.0" encoding="utf-8"?>
<sst xmlns="http://schemas.openxmlformats.org/spreadsheetml/2006/main" count="198" uniqueCount="133">
  <si>
    <t>44, rue des Garennes 57155 MARLY        contact@karletleon.com</t>
  </si>
  <si>
    <t>Description</t>
  </si>
  <si>
    <t>Cond</t>
  </si>
  <si>
    <t>Unité</t>
  </si>
  <si>
    <t>EAN UC</t>
  </si>
  <si>
    <t>prix de revient HT unité</t>
  </si>
  <si>
    <t>prix de revient HT colis</t>
  </si>
  <si>
    <t>TOTAL HT</t>
  </si>
  <si>
    <t>50cl</t>
  </si>
  <si>
    <t>LES SOFTS</t>
  </si>
  <si>
    <t>33cl</t>
  </si>
  <si>
    <t>FREEZ</t>
  </si>
  <si>
    <t>FREEZ Ananas Coco</t>
  </si>
  <si>
    <t>27,5cl</t>
  </si>
  <si>
    <t>0762571500081</t>
  </si>
  <si>
    <t>FREEZ Blue Hawaï</t>
  </si>
  <si>
    <t>0762571500197</t>
  </si>
  <si>
    <t>FREEZ Citron Gingembre</t>
  </si>
  <si>
    <t>0762571500043</t>
  </si>
  <si>
    <t>FREEZ Fraise</t>
  </si>
  <si>
    <t>0762571500012</t>
  </si>
  <si>
    <t>FREEZ Fruits des Bois Mûres</t>
  </si>
  <si>
    <t>0762571500036</t>
  </si>
  <si>
    <t>FREEZ Grenadine</t>
  </si>
  <si>
    <t>0762571500029</t>
  </si>
  <si>
    <t>FREEZ Kiwi Citron Vert</t>
  </si>
  <si>
    <t>0762571500098</t>
  </si>
  <si>
    <t>FREEZ Litchi</t>
  </si>
  <si>
    <t>0762571500265</t>
  </si>
  <si>
    <t>FREEZ Mangue</t>
  </si>
  <si>
    <t>0762571500241</t>
  </si>
  <si>
    <t>FREEZ Mojito Fraise</t>
  </si>
  <si>
    <t>0762571500296 </t>
  </si>
  <si>
    <t>FREEZ Mojito Menthe</t>
  </si>
  <si>
    <t>0762571500128</t>
  </si>
  <si>
    <t>FREEZ Pomme Raisin</t>
  </si>
  <si>
    <t>0762571500067</t>
  </si>
  <si>
    <t>FREEZ Energy Drink</t>
  </si>
  <si>
    <t>0762571500203</t>
  </si>
  <si>
    <t>DADA canette</t>
  </si>
  <si>
    <t>DADA cerise canette</t>
  </si>
  <si>
    <t>DADA fraise canette</t>
  </si>
  <si>
    <t>DADA litchi canette</t>
  </si>
  <si>
    <t>DADA mangue canette</t>
  </si>
  <si>
    <t>DADA melon canette</t>
  </si>
  <si>
    <t>DADA mojito canette</t>
  </si>
  <si>
    <t>DADA pêche canette</t>
  </si>
  <si>
    <t>DADA pomme canette</t>
  </si>
  <si>
    <t>DADA cola canette</t>
  </si>
  <si>
    <t>DADA cola zéro canette</t>
  </si>
  <si>
    <t>DADA ice tea peach canette</t>
  </si>
  <si>
    <t>DADA lemon canette</t>
  </si>
  <si>
    <t>HAWAI canette</t>
  </si>
  <si>
    <t>MAAZA Banane canette</t>
  </si>
  <si>
    <t>MAAZA Goyave canette</t>
  </si>
  <si>
    <t>MAAZA Mangue canette</t>
  </si>
  <si>
    <t>MAAZA Tropical canette</t>
  </si>
  <si>
    <t>MIRINDA Fraise canette</t>
  </si>
  <si>
    <t>MIRINDA Orange canette</t>
  </si>
  <si>
    <t>MAAZA Goyave PET 50cl</t>
  </si>
  <si>
    <t>MAAZA Litchi PET 50cl</t>
  </si>
  <si>
    <t>MAAZA Mangue PET 50cl</t>
  </si>
  <si>
    <t>MAAZA Tropical PET 50cl</t>
  </si>
  <si>
    <t>1,25L</t>
  </si>
  <si>
    <t>1,5L</t>
  </si>
  <si>
    <t>IFRI gazouz ANANAS PET 1,25L</t>
  </si>
  <si>
    <t>IFRI gazouz FRAMBOISE PET 1,25L</t>
  </si>
  <si>
    <t>IFRI gazouz ORANGE PET 1,25L</t>
  </si>
  <si>
    <t>ÉPICERIE SALÉE</t>
  </si>
  <si>
    <t>Sauce Colona Tubes Squeeze 500ml</t>
  </si>
  <si>
    <t>Sauce Colona SWEET BARBECUE Tube</t>
  </si>
  <si>
    <t>500ml</t>
  </si>
  <si>
    <t>Sauce Colona TOMATO KETCHUP Tube</t>
  </si>
  <si>
    <t>Sauce Colona ALGÉRIENNE Tube</t>
  </si>
  <si>
    <t>Sauce Colona AMERICAINE Tube</t>
  </si>
  <si>
    <t>Sauce Colona ANDALOUSE Tube</t>
  </si>
  <si>
    <t>Sauce Colona BIGBURGER Tube</t>
  </si>
  <si>
    <t>Sauce Colona BOURGYBURGER Tube</t>
  </si>
  <si>
    <t>Sauce Colona CH'BILOUTE Tube</t>
  </si>
  <si>
    <t>Sauce Colona CURRY Tube</t>
  </si>
  <si>
    <t>Sauce Colona FISH Tube</t>
  </si>
  <si>
    <t>Sauce Colona HANNIBAL Tube</t>
  </si>
  <si>
    <t>Sauce Colona MAROCAINE Tube</t>
  </si>
  <si>
    <t>Sauce Colona MAYONNAISE Tube</t>
  </si>
  <si>
    <t>Sauce Colona PITTA KEBAB Tube</t>
  </si>
  <si>
    <t>Sauce Colona POIVRE RAVIGORE Tube</t>
  </si>
  <si>
    <t>Sauce Colona SAMOURAÏ Tube</t>
  </si>
  <si>
    <t>Sauce Colona TARTARE Tube</t>
  </si>
  <si>
    <t>Sauce Colona TUCHE Tube</t>
  </si>
  <si>
    <t>Sauce Colona BRAZIL Tube</t>
  </si>
  <si>
    <t>Sauce Colona CHEEZY EASY Tube</t>
  </si>
  <si>
    <t>90g</t>
  </si>
  <si>
    <t>ÉPICERIE SUCRÉE</t>
  </si>
  <si>
    <t>Pâtes à tartiner NELLA DELICE</t>
  </si>
  <si>
    <t>NELLA DELICE pâte à tartiner crème noisette</t>
  </si>
  <si>
    <t>700g</t>
  </si>
  <si>
    <t>NELLA DELICE crème de Pistache</t>
  </si>
  <si>
    <t>200g</t>
  </si>
  <si>
    <t>NELLA DELICE éclats Kadaif Kunafa crème de Pistache</t>
  </si>
  <si>
    <t>BONBONS FINI HALAL petits sachets</t>
  </si>
  <si>
    <t>TOTAL COLIS COMMANDÉS</t>
  </si>
  <si>
    <t>BOISSONS A LA PALETTE</t>
  </si>
  <si>
    <t>Palette MIRINDA Fraise 84 packs 6x1,5L</t>
  </si>
  <si>
    <t>Palette MIRINDA Orange 84 packs 6x1,5L</t>
  </si>
  <si>
    <t>Palette MIRINDA Ananas 84 packs 6x1,5L</t>
  </si>
  <si>
    <t>Palette MIRINDA Pomme Kiwi 84 packs 6x1,5L</t>
  </si>
  <si>
    <t>Palette SELECTO 84 packs 6x1,5L</t>
  </si>
  <si>
    <t>Palette SLIM Fraise 84 packs 6x1,5L</t>
  </si>
  <si>
    <t>Palette SLIM Pomme 84 packs 6x1,5L</t>
  </si>
  <si>
    <t>Palette HAMOUD 84 packs 6x1,5L</t>
  </si>
  <si>
    <t>Palette QUEBEC 84 packs 6x1,5L</t>
  </si>
  <si>
    <t>commande</t>
  </si>
  <si>
    <t>Prix HT en Euros - Franco 1500€HT Grand Est; 2000€HT reste de la France métropolitaine.  Sont inclus : Contribution Eco-emballages, contribution sur les boissons sucrées, droit spécifique sur les eaux et boissons non alcoolisées (BNA) et droit de consommation (article 403 du Code Général des Impôts). Prix valables du 1er février au 19 mars 2026. Pré-commandes accéptées jusqu'au 5 février pour les produits à la palette complète,</t>
  </si>
  <si>
    <t>IFRI GAZOUZ</t>
  </si>
  <si>
    <t>MAAZA canette</t>
  </si>
  <si>
    <t>MIRINDA canette</t>
  </si>
  <si>
    <t>MAAZA pet 50cl</t>
  </si>
  <si>
    <t>BOX FINI HALLAL prêt à vendre 33 cartons soit 396 sachets</t>
  </si>
  <si>
    <t>DESIGNATION</t>
  </si>
  <si>
    <t>OEUFS AU PLAT LISSE HALAL 12 X 90 GRS</t>
  </si>
  <si>
    <t>MURES HALAL 12 SACHETS X 90 GRS</t>
  </si>
  <si>
    <t>REQUINS ASSORTIS LISSES HALAL 12 X 90 GRS</t>
  </si>
  <si>
    <t>OURSONS SUCRES 12 SACHETS X 90 GRS</t>
  </si>
  <si>
    <t>BISOUS FRAISE SUCRES HALAL 12 X 90 GR</t>
  </si>
  <si>
    <t>TAPIS MAGIQUES FIZZ HALAL 12 X 90 GRS</t>
  </si>
  <si>
    <t>LITTLE MIX FIZZ HALAL 12 SACHETS X 90 GRS</t>
  </si>
  <si>
    <t>TRANCHES PASTEQUE FIZZ HALAL 12 SACHETS X 90GRS</t>
  </si>
  <si>
    <t>LUCIOLES FIZZ HALAL 12X 90 GRS</t>
  </si>
  <si>
    <t>BOUTEILLES COLA FIZZ HALAL 12 X 90 GRS</t>
  </si>
  <si>
    <t>nombre colis</t>
  </si>
  <si>
    <t>nombre sachets</t>
  </si>
  <si>
    <t>ean sachet</t>
  </si>
  <si>
    <t>Composition BOX FINI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</si>
</sst>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
    <numFmt numFmtId="165" formatCode="0.000"/>
    <numFmt numFmtId="166" formatCode="#,##0.00\ &quot;€&quot;"/>
  </numFmts>
  <fonts count="30" x14ac:knownFonts="1">
    <font>
      <sz val="11"/>
      <color theme="1"/>
      <name val="Calibri"/>
      <scheme val="minor"/>
    </font>
    <font>
      <sz val="6"/>
      <color theme="1"/>
      <name val="Arial"/>
      <family val="2"/>
    </font>
    <font>
      <sz val="6"/>
      <color rgb="FF000000"/>
      <name val="Arial"/>
      <family val="2"/>
    </font>
    <font>
      <sz val="10"/>
      <color theme="1"/>
      <name val="Calibri"/>
      <family val="2"/>
    </font>
    <font>
      <b/>
      <sz val="11"/>
      <color rgb="FF7030A0"/>
      <name val="Calibri"/>
      <family val="2"/>
    </font>
    <font>
      <sz val="11"/>
      <color theme="1"/>
      <name val="Calibri"/>
      <family val="2"/>
    </font>
    <font>
      <sz val="11"/>
      <name val="Calibri"/>
      <family val="2"/>
    </font>
    <font>
      <b/>
      <sz val="9"/>
      <color rgb="FF7030A0"/>
      <name val="Arial"/>
      <family val="2"/>
    </font>
    <font>
      <b/>
      <sz val="6"/>
      <color theme="1"/>
      <name val="Arial"/>
      <family val="2"/>
    </font>
    <font>
      <sz val="8"/>
      <color theme="1"/>
      <name val="Arial"/>
      <family val="2"/>
    </font>
    <font>
      <b/>
      <sz val="8"/>
      <color theme="1"/>
      <name val="Arial"/>
      <family val="2"/>
    </font>
    <font>
      <b/>
      <sz val="8"/>
      <color rgb="FF000000"/>
      <name val="Arial"/>
      <family val="2"/>
    </font>
    <font>
      <sz val="8"/>
      <color rgb="FF000000"/>
      <name val="Arial"/>
      <family val="2"/>
    </font>
    <font>
      <b/>
      <sz val="7"/>
      <color theme="1"/>
      <name val="Arial"/>
      <family val="2"/>
    </font>
    <font>
      <sz val="7"/>
      <color theme="1"/>
      <name val="Calibri"/>
      <family val="2"/>
    </font>
    <font>
      <sz val="7"/>
      <color theme="1"/>
      <name val="Arial"/>
      <family val="2"/>
    </font>
    <font>
      <sz val="7"/>
      <color rgb="FF000000"/>
      <name val="Arial"/>
      <family val="2"/>
    </font>
    <font>
      <sz val="6"/>
      <color rgb="FF333333"/>
      <name val="Arial"/>
      <family val="2"/>
    </font>
    <font>
      <b/>
      <sz val="8"/>
      <color rgb="FFFF0000"/>
      <name val="Arial"/>
      <family val="2"/>
    </font>
    <font>
      <b/>
      <sz val="6"/>
      <color rgb="FF7030A0"/>
      <name val="Arial"/>
      <family val="2"/>
    </font>
    <font>
      <b/>
      <sz val="11"/>
      <color rgb="FF7030A0"/>
      <name val="Arial"/>
      <family val="2"/>
    </font>
    <font>
      <sz val="7"/>
      <color theme="1"/>
      <name val="Arial"/>
      <family val="2"/>
    </font>
    <font>
      <b/>
      <sz val="9"/>
      <color rgb="FF7030A0"/>
      <name val="Arial"/>
      <family val="2"/>
    </font>
    <font>
      <sz val="7"/>
      <color theme="1"/>
      <name val="Calibri"/>
      <family val="2"/>
    </font>
    <font>
      <sz val="7"/>
      <name val="Calibri"/>
      <family val="2"/>
    </font>
    <font>
      <b/>
      <sz val="8"/>
      <color theme="1"/>
      <name val="Arial"/>
      <family val="2"/>
    </font>
    <font>
      <b/>
      <sz val="7"/>
      <color theme="1"/>
      <name val="Arial"/>
      <family val="2"/>
    </font>
    <font>
      <sz val="6"/>
      <color theme="1"/>
      <name val="Arial"/>
      <family val="2"/>
    </font>
    <font>
      <sz val="6"/>
      <color rgb="FF000000"/>
      <name val="Arial"/>
      <family val="2"/>
    </font>
    <font>
      <sz val="7"/>
      <color rgb="FF000000"/>
      <name val="Arial"/>
      <family val="2"/>
    </font>
  </fonts>
  <fills count="17">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F9F9F9"/>
        <bgColor rgb="FFF9F9F9"/>
      </patternFill>
    </fill>
    <fill>
      <patternFill patternType="solid">
        <fgColor rgb="FF999999"/>
        <bgColor rgb="FF999999"/>
      </patternFill>
    </fill>
    <fill>
      <patternFill patternType="solid">
        <fgColor theme="0"/>
        <bgColor rgb="FFD8D8D8"/>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79998168889431442"/>
        <bgColor rgb="FFB6DDE8"/>
      </patternFill>
    </fill>
    <fill>
      <patternFill patternType="solid">
        <fgColor theme="0"/>
        <bgColor rgb="FFFFFFFF"/>
      </patternFill>
    </fill>
    <fill>
      <patternFill patternType="solid">
        <fgColor theme="0"/>
        <bgColor rgb="FFB6DDE8"/>
      </patternFill>
    </fill>
    <fill>
      <patternFill patternType="solid">
        <fgColor theme="0"/>
        <bgColor rgb="FFB7B7B7"/>
      </patternFill>
    </fill>
    <fill>
      <patternFill patternType="solid">
        <fgColor theme="3" tint="0.499984740745262"/>
        <bgColor rgb="FFB7B7B7"/>
      </patternFill>
    </fill>
    <fill>
      <patternFill patternType="solid">
        <fgColor theme="3" tint="0.499984740745262"/>
        <bgColor rgb="FF999999"/>
      </patternFill>
    </fill>
  </fills>
  <borders count="33">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20">
    <xf numFmtId="0" fontId="0" fillId="0" borderId="0" xfId="0"/>
    <xf numFmtId="164" fontId="1" fillId="2" borderId="1" xfId="0" applyNumberFormat="1" applyFont="1" applyFill="1" applyBorder="1" applyAlignment="1">
      <alignment vertical="center" wrapText="1"/>
    </xf>
    <xf numFmtId="164" fontId="2" fillId="2" borderId="1" xfId="0" applyNumberFormat="1" applyFont="1" applyFill="1" applyBorder="1" applyAlignment="1">
      <alignment vertical="center" wrapText="1"/>
    </xf>
    <xf numFmtId="0" fontId="1" fillId="2" borderId="1" xfId="0" applyFont="1" applyFill="1" applyBorder="1" applyAlignment="1">
      <alignment wrapText="1"/>
    </xf>
    <xf numFmtId="2" fontId="2"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xf numFmtId="0" fontId="5" fillId="2" borderId="1" xfId="0" applyFont="1" applyFill="1" applyBorder="1" applyAlignment="1">
      <alignment horizontal="center"/>
    </xf>
    <xf numFmtId="49" fontId="1" fillId="3" borderId="5" xfId="0" applyNumberFormat="1" applyFont="1" applyFill="1" applyBorder="1" applyAlignment="1">
      <alignment vertical="center" wrapText="1"/>
    </xf>
    <xf numFmtId="0" fontId="1" fillId="3" borderId="5" xfId="0" applyFont="1" applyFill="1" applyBorder="1" applyAlignment="1">
      <alignment horizontal="center" vertical="center"/>
    </xf>
    <xf numFmtId="0" fontId="1" fillId="3" borderId="5" xfId="0" applyFont="1" applyFill="1" applyBorder="1" applyAlignment="1">
      <alignment horizontal="center" vertical="center" wrapText="1"/>
    </xf>
    <xf numFmtId="164" fontId="2" fillId="3" borderId="5" xfId="0" applyNumberFormat="1" applyFont="1" applyFill="1" applyBorder="1" applyAlignment="1">
      <alignment horizontal="center" vertical="center" wrapText="1"/>
    </xf>
    <xf numFmtId="2" fontId="2" fillId="3" borderId="5" xfId="0" applyNumberFormat="1" applyFont="1" applyFill="1" applyBorder="1" applyAlignment="1">
      <alignment horizontal="center" vertical="center" wrapText="1"/>
    </xf>
    <xf numFmtId="2" fontId="8" fillId="0" borderId="6" xfId="0" applyNumberFormat="1" applyFont="1" applyBorder="1" applyAlignment="1">
      <alignment horizontal="center" vertical="center"/>
    </xf>
    <xf numFmtId="0" fontId="9" fillId="0" borderId="0" xfId="0" applyFont="1"/>
    <xf numFmtId="49" fontId="13" fillId="4" borderId="5" xfId="0" applyNumberFormat="1" applyFont="1" applyFill="1" applyBorder="1" applyAlignment="1">
      <alignment vertical="center" wrapText="1"/>
    </xf>
    <xf numFmtId="0" fontId="1" fillId="4" borderId="5" xfId="0" applyFont="1" applyFill="1" applyBorder="1" applyAlignment="1">
      <alignment vertical="center"/>
    </xf>
    <xf numFmtId="0" fontId="1" fillId="4" borderId="10" xfId="0" applyFont="1" applyFill="1" applyBorder="1" applyAlignment="1">
      <alignment vertical="center" wrapText="1"/>
    </xf>
    <xf numFmtId="164" fontId="2" fillId="4" borderId="5" xfId="0" applyNumberFormat="1" applyFont="1" applyFill="1" applyBorder="1" applyAlignment="1">
      <alignment horizontal="center" vertical="center" wrapText="1"/>
    </xf>
    <xf numFmtId="2" fontId="14" fillId="4" borderId="11" xfId="0" applyNumberFormat="1" applyFont="1" applyFill="1" applyBorder="1"/>
    <xf numFmtId="2" fontId="2" fillId="4" borderId="5" xfId="0" applyNumberFormat="1" applyFont="1" applyFill="1" applyBorder="1" applyAlignment="1">
      <alignment horizontal="center" vertical="center" wrapText="1"/>
    </xf>
    <xf numFmtId="0" fontId="4" fillId="0" borderId="5" xfId="0" applyFont="1" applyBorder="1" applyAlignment="1">
      <alignment horizontal="center" vertical="center"/>
    </xf>
    <xf numFmtId="49" fontId="15" fillId="4" borderId="5" xfId="0" applyNumberFormat="1" applyFont="1" applyFill="1" applyBorder="1" applyAlignment="1">
      <alignment vertical="center" wrapText="1"/>
    </xf>
    <xf numFmtId="0" fontId="1" fillId="4" borderId="5" xfId="0" applyFont="1" applyFill="1" applyBorder="1" applyAlignment="1">
      <alignment horizontal="center" vertical="center"/>
    </xf>
    <xf numFmtId="0" fontId="1" fillId="4" borderId="10" xfId="0" applyFont="1" applyFill="1" applyBorder="1" applyAlignment="1">
      <alignment horizontal="center" vertical="center" wrapText="1"/>
    </xf>
    <xf numFmtId="49" fontId="16" fillId="4" borderId="5" xfId="0" applyNumberFormat="1" applyFont="1" applyFill="1" applyBorder="1" applyAlignment="1">
      <alignment vertical="center" wrapText="1"/>
    </xf>
    <xf numFmtId="0" fontId="1" fillId="0" borderId="5" xfId="0" applyFont="1" applyBorder="1" applyAlignment="1">
      <alignment horizontal="center" vertical="center"/>
    </xf>
    <xf numFmtId="0" fontId="1" fillId="0" borderId="12" xfId="0" applyFont="1" applyBorder="1" applyAlignment="1">
      <alignment horizontal="center" vertical="center"/>
    </xf>
    <xf numFmtId="0" fontId="1" fillId="4" borderId="5" xfId="0" applyFont="1" applyFill="1" applyBorder="1" applyAlignment="1">
      <alignment horizontal="center" vertical="center" wrapText="1"/>
    </xf>
    <xf numFmtId="164" fontId="17" fillId="0" borderId="5" xfId="0" applyNumberFormat="1" applyFont="1" applyBorder="1" applyAlignment="1">
      <alignment horizontal="center" vertical="center"/>
    </xf>
    <xf numFmtId="164" fontId="17" fillId="4" borderId="5" xfId="0" applyNumberFormat="1" applyFont="1" applyFill="1" applyBorder="1" applyAlignment="1">
      <alignment horizontal="center" vertical="center"/>
    </xf>
    <xf numFmtId="164" fontId="17" fillId="5" borderId="5" xfId="0" applyNumberFormat="1" applyFont="1" applyFill="1" applyBorder="1" applyAlignment="1">
      <alignment horizontal="center" vertical="center"/>
    </xf>
    <xf numFmtId="0" fontId="5" fillId="0" borderId="0" xfId="0" applyFont="1"/>
    <xf numFmtId="0" fontId="10" fillId="6" borderId="5" xfId="0" applyFont="1" applyFill="1" applyBorder="1" applyAlignment="1">
      <alignment vertical="center" wrapText="1"/>
    </xf>
    <xf numFmtId="0" fontId="18" fillId="6" borderId="5" xfId="0" applyFont="1" applyFill="1" applyBorder="1" applyAlignment="1">
      <alignment vertical="center"/>
    </xf>
    <xf numFmtId="0" fontId="18" fillId="6" borderId="10" xfId="0" applyFont="1" applyFill="1" applyBorder="1" applyAlignment="1">
      <alignment vertical="center" wrapText="1"/>
    </xf>
    <xf numFmtId="164" fontId="11" fillId="6" borderId="5" xfId="0" applyNumberFormat="1" applyFont="1" applyFill="1" applyBorder="1" applyAlignment="1">
      <alignment horizontal="center" vertical="center" wrapText="1"/>
    </xf>
    <xf numFmtId="2" fontId="12" fillId="6" borderId="5" xfId="0" applyNumberFormat="1" applyFont="1" applyFill="1" applyBorder="1" applyAlignment="1">
      <alignment horizontal="center" vertical="center" wrapText="1"/>
    </xf>
    <xf numFmtId="0" fontId="4" fillId="6" borderId="5" xfId="0" applyFont="1" applyFill="1" applyBorder="1" applyAlignment="1">
      <alignment horizontal="center" vertical="center"/>
    </xf>
    <xf numFmtId="164" fontId="5" fillId="0" borderId="0" xfId="0" applyNumberFormat="1" applyFont="1" applyAlignment="1">
      <alignment horizontal="center"/>
    </xf>
    <xf numFmtId="0" fontId="4" fillId="0" borderId="0" xfId="0" applyFont="1" applyAlignment="1">
      <alignment horizontal="center" vertical="center"/>
    </xf>
    <xf numFmtId="164" fontId="5" fillId="0" borderId="0" xfId="0" applyNumberFormat="1" applyFont="1"/>
    <xf numFmtId="0" fontId="1" fillId="4" borderId="12" xfId="0" applyFont="1" applyFill="1" applyBorder="1" applyAlignment="1">
      <alignment horizontal="center" vertical="center" wrapText="1"/>
    </xf>
    <xf numFmtId="2" fontId="8" fillId="8" borderId="11" xfId="0" applyNumberFormat="1" applyFont="1" applyFill="1" applyBorder="1" applyAlignment="1">
      <alignment horizontal="center" vertical="center"/>
    </xf>
    <xf numFmtId="49" fontId="10" fillId="4" borderId="13" xfId="0" applyNumberFormat="1" applyFont="1" applyFill="1" applyBorder="1" applyAlignment="1">
      <alignment vertical="center" wrapText="1"/>
    </xf>
    <xf numFmtId="0" fontId="1" fillId="7" borderId="13" xfId="0" applyFont="1" applyFill="1" applyBorder="1" applyAlignment="1">
      <alignment horizontal="center" vertical="center"/>
    </xf>
    <xf numFmtId="0" fontId="1" fillId="7" borderId="14" xfId="0" applyFont="1" applyFill="1" applyBorder="1" applyAlignment="1">
      <alignment horizontal="center" vertical="center" wrapText="1"/>
    </xf>
    <xf numFmtId="164" fontId="2" fillId="7" borderId="13" xfId="0" applyNumberFormat="1" applyFont="1" applyFill="1" applyBorder="1" applyAlignment="1">
      <alignment horizontal="center" vertical="center" wrapText="1"/>
    </xf>
    <xf numFmtId="2" fontId="2" fillId="7" borderId="15" xfId="0" applyNumberFormat="1" applyFont="1" applyFill="1" applyBorder="1" applyAlignment="1">
      <alignment horizontal="center" vertical="center" wrapText="1"/>
    </xf>
    <xf numFmtId="2" fontId="2" fillId="7" borderId="13" xfId="0" applyNumberFormat="1" applyFont="1" applyFill="1" applyBorder="1" applyAlignment="1">
      <alignment horizontal="center" vertical="center" wrapText="1"/>
    </xf>
    <xf numFmtId="2" fontId="7" fillId="8" borderId="13" xfId="0" applyNumberFormat="1" applyFont="1" applyFill="1" applyBorder="1" applyAlignment="1">
      <alignment horizontal="center" vertical="center"/>
    </xf>
    <xf numFmtId="49" fontId="10" fillId="4" borderId="7" xfId="0" applyNumberFormat="1" applyFont="1" applyFill="1" applyBorder="1" applyAlignment="1">
      <alignment vertical="center" wrapText="1"/>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wrapText="1"/>
    </xf>
    <xf numFmtId="164" fontId="2" fillId="4" borderId="7" xfId="0" applyNumberFormat="1" applyFont="1" applyFill="1" applyBorder="1" applyAlignment="1">
      <alignment horizontal="center" vertical="center" wrapText="1"/>
    </xf>
    <xf numFmtId="0" fontId="4" fillId="0" borderId="7" xfId="0" applyFont="1" applyBorder="1" applyAlignment="1">
      <alignment horizontal="center" vertical="center"/>
    </xf>
    <xf numFmtId="0" fontId="21" fillId="8" borderId="4" xfId="0" applyFont="1" applyFill="1" applyBorder="1" applyAlignment="1">
      <alignment horizontal="center" vertical="center" wrapText="1"/>
    </xf>
    <xf numFmtId="164" fontId="21" fillId="8" borderId="4" xfId="0" applyNumberFormat="1" applyFont="1" applyFill="1" applyBorder="1" applyAlignment="1">
      <alignment horizontal="center" vertical="center" wrapText="1"/>
    </xf>
    <xf numFmtId="2" fontId="7" fillId="8" borderId="4" xfId="0" applyNumberFormat="1" applyFont="1" applyFill="1" applyBorder="1" applyAlignment="1">
      <alignment horizontal="center" vertical="center"/>
    </xf>
    <xf numFmtId="0" fontId="21" fillId="8" borderId="16" xfId="0" applyFont="1" applyFill="1" applyBorder="1" applyAlignment="1">
      <alignment vertical="center" wrapText="1"/>
    </xf>
    <xf numFmtId="0" fontId="21" fillId="8" borderId="16" xfId="0" applyFont="1" applyFill="1" applyBorder="1" applyAlignment="1">
      <alignment horizontal="center" vertical="center" wrapText="1"/>
    </xf>
    <xf numFmtId="164" fontId="21" fillId="8" borderId="16" xfId="0" applyNumberFormat="1" applyFont="1" applyFill="1" applyBorder="1" applyAlignment="1">
      <alignment horizontal="center" vertical="center" wrapText="1"/>
    </xf>
    <xf numFmtId="2" fontId="7" fillId="8" borderId="16" xfId="0" applyNumberFormat="1" applyFont="1" applyFill="1" applyBorder="1" applyAlignment="1">
      <alignment horizontal="center" vertical="center"/>
    </xf>
    <xf numFmtId="2" fontId="22" fillId="0" borderId="5" xfId="0" applyNumberFormat="1" applyFont="1" applyBorder="1" applyAlignment="1">
      <alignment horizontal="center" vertical="center"/>
    </xf>
    <xf numFmtId="2" fontId="2" fillId="11" borderId="11" xfId="0" applyNumberFormat="1" applyFont="1" applyFill="1" applyBorder="1" applyAlignment="1">
      <alignment horizontal="center" vertical="center" wrapText="1"/>
    </xf>
    <xf numFmtId="2" fontId="2" fillId="11" borderId="5" xfId="0" applyNumberFormat="1" applyFont="1" applyFill="1" applyBorder="1" applyAlignment="1">
      <alignment horizontal="center" vertical="center" wrapText="1"/>
    </xf>
    <xf numFmtId="2" fontId="14" fillId="12" borderId="11" xfId="0" applyNumberFormat="1" applyFont="1" applyFill="1" applyBorder="1"/>
    <xf numFmtId="2" fontId="2" fillId="13" borderId="11" xfId="0" applyNumberFormat="1" applyFont="1" applyFill="1" applyBorder="1" applyAlignment="1">
      <alignment horizontal="center" vertical="center" wrapText="1"/>
    </xf>
    <xf numFmtId="2" fontId="2" fillId="13" borderId="9" xfId="0" applyNumberFormat="1" applyFont="1" applyFill="1" applyBorder="1" applyAlignment="1">
      <alignment horizontal="center" vertical="center" wrapText="1"/>
    </xf>
    <xf numFmtId="0" fontId="4" fillId="14" borderId="5" xfId="0" applyFont="1" applyFill="1" applyBorder="1" applyAlignment="1">
      <alignment horizontal="center" vertical="center"/>
    </xf>
    <xf numFmtId="2" fontId="21" fillId="10" borderId="16" xfId="0" applyNumberFormat="1" applyFont="1" applyFill="1" applyBorder="1" applyAlignment="1">
      <alignment horizontal="center" vertical="center" wrapText="1"/>
    </xf>
    <xf numFmtId="2" fontId="0" fillId="0" borderId="0" xfId="0" applyNumberFormat="1"/>
    <xf numFmtId="2" fontId="5" fillId="0" borderId="0" xfId="0" applyNumberFormat="1" applyFont="1"/>
    <xf numFmtId="49" fontId="25" fillId="4" borderId="7" xfId="0" applyNumberFormat="1" applyFont="1" applyFill="1" applyBorder="1" applyAlignment="1">
      <alignment vertical="center" wrapText="1"/>
    </xf>
    <xf numFmtId="2" fontId="21" fillId="8" borderId="4" xfId="0" applyNumberFormat="1" applyFont="1" applyFill="1" applyBorder="1" applyAlignment="1">
      <alignment horizontal="center" vertical="center" wrapText="1"/>
    </xf>
    <xf numFmtId="49" fontId="26" fillId="4" borderId="5" xfId="0" applyNumberFormat="1" applyFont="1" applyFill="1" applyBorder="1" applyAlignment="1">
      <alignment vertical="center" wrapText="1"/>
    </xf>
    <xf numFmtId="165" fontId="2" fillId="11" borderId="11" xfId="0" applyNumberFormat="1" applyFont="1" applyFill="1" applyBorder="1" applyAlignment="1">
      <alignment horizontal="center" vertical="center" wrapText="1"/>
    </xf>
    <xf numFmtId="0" fontId="25" fillId="6" borderId="5" xfId="0" applyFont="1" applyFill="1" applyBorder="1" applyAlignment="1">
      <alignment vertical="center" wrapText="1"/>
    </xf>
    <xf numFmtId="49" fontId="21" fillId="4" borderId="5" xfId="0" applyNumberFormat="1" applyFont="1" applyFill="1" applyBorder="1" applyAlignment="1">
      <alignment vertical="center" wrapText="1"/>
    </xf>
    <xf numFmtId="0" fontId="27" fillId="14" borderId="5" xfId="0" applyFont="1" applyFill="1" applyBorder="1" applyAlignment="1">
      <alignment horizontal="center" vertical="center"/>
    </xf>
    <xf numFmtId="0" fontId="27" fillId="14" borderId="12" xfId="0" applyFont="1" applyFill="1" applyBorder="1" applyAlignment="1">
      <alignment horizontal="center" vertical="center" wrapText="1"/>
    </xf>
    <xf numFmtId="49" fontId="10" fillId="15" borderId="5" xfId="0" applyNumberFormat="1" applyFont="1" applyFill="1" applyBorder="1" applyAlignment="1">
      <alignment vertical="center" wrapText="1"/>
    </xf>
    <xf numFmtId="0" fontId="9" fillId="15" borderId="5" xfId="0" applyFont="1" applyFill="1" applyBorder="1" applyAlignment="1">
      <alignment vertical="center"/>
    </xf>
    <xf numFmtId="0" fontId="9" fillId="15" borderId="10" xfId="0" applyFont="1" applyFill="1" applyBorder="1" applyAlignment="1">
      <alignment vertical="center" wrapText="1"/>
    </xf>
    <xf numFmtId="164" fontId="12" fillId="15" borderId="5" xfId="0" applyNumberFormat="1" applyFont="1" applyFill="1" applyBorder="1" applyAlignment="1">
      <alignment horizontal="center" vertical="center" wrapText="1"/>
    </xf>
    <xf numFmtId="2" fontId="4" fillId="15" borderId="5" xfId="0" applyNumberFormat="1" applyFont="1" applyFill="1" applyBorder="1" applyAlignment="1">
      <alignment horizontal="center" vertical="center"/>
    </xf>
    <xf numFmtId="2" fontId="12" fillId="16" borderId="5" xfId="0" applyNumberFormat="1" applyFont="1" applyFill="1" applyBorder="1" applyAlignment="1">
      <alignment horizontal="center" vertical="center" wrapText="1"/>
    </xf>
    <xf numFmtId="0" fontId="4" fillId="15" borderId="5" xfId="0" applyFont="1" applyFill="1" applyBorder="1" applyAlignment="1">
      <alignment horizontal="center" vertical="center"/>
    </xf>
    <xf numFmtId="0" fontId="0" fillId="0" borderId="4" xfId="0" applyBorder="1"/>
    <xf numFmtId="0" fontId="21" fillId="0" borderId="16" xfId="0" applyFont="1" applyBorder="1" applyAlignment="1">
      <alignment horizontal="center"/>
    </xf>
    <xf numFmtId="0" fontId="21" fillId="0" borderId="17" xfId="0" applyFont="1" applyBorder="1"/>
    <xf numFmtId="164" fontId="29" fillId="0" borderId="18" xfId="0" applyNumberFormat="1" applyFont="1" applyBorder="1" applyAlignment="1">
      <alignment horizontal="center"/>
    </xf>
    <xf numFmtId="0" fontId="21" fillId="0" borderId="19" xfId="0" applyFont="1" applyBorder="1" applyProtection="1">
      <protection locked="0"/>
    </xf>
    <xf numFmtId="0" fontId="21" fillId="0" borderId="20" xfId="0" applyFont="1" applyBorder="1" applyAlignment="1">
      <alignment horizontal="center"/>
    </xf>
    <xf numFmtId="164" fontId="29" fillId="0" borderId="21" xfId="0" applyNumberFormat="1" applyFont="1" applyBorder="1" applyAlignment="1">
      <alignment horizontal="center"/>
    </xf>
    <xf numFmtId="0" fontId="21" fillId="9" borderId="26" xfId="0" applyFont="1" applyFill="1" applyBorder="1" applyAlignment="1">
      <alignment horizontal="center"/>
    </xf>
    <xf numFmtId="0" fontId="21" fillId="9" borderId="27" xfId="0" applyFont="1" applyFill="1" applyBorder="1"/>
    <xf numFmtId="164" fontId="2" fillId="4" borderId="13" xfId="0" applyNumberFormat="1" applyFont="1" applyFill="1" applyBorder="1" applyAlignment="1">
      <alignment horizontal="center" vertical="center" wrapText="1"/>
    </xf>
    <xf numFmtId="2" fontId="2" fillId="11" borderId="15" xfId="0" applyNumberFormat="1" applyFont="1" applyFill="1" applyBorder="1" applyAlignment="1">
      <alignment horizontal="center" vertical="center" wrapText="1"/>
    </xf>
    <xf numFmtId="2" fontId="2" fillId="4" borderId="13" xfId="0" applyNumberFormat="1" applyFont="1" applyFill="1" applyBorder="1" applyAlignment="1">
      <alignment horizontal="center" vertical="center" wrapText="1"/>
    </xf>
    <xf numFmtId="0" fontId="4" fillId="0" borderId="13" xfId="0" applyFont="1" applyBorder="1" applyAlignment="1">
      <alignment horizontal="center" vertical="center"/>
    </xf>
    <xf numFmtId="2" fontId="8" fillId="8" borderId="15" xfId="0" applyNumberFormat="1" applyFont="1" applyFill="1" applyBorder="1" applyAlignment="1">
      <alignment horizontal="center" vertical="center"/>
    </xf>
    <xf numFmtId="0" fontId="20" fillId="0" borderId="31" xfId="0" applyFont="1" applyBorder="1" applyAlignment="1">
      <alignment horizontal="center" vertical="center"/>
    </xf>
    <xf numFmtId="166" fontId="5" fillId="0" borderId="30" xfId="0" applyNumberFormat="1" applyFont="1" applyBorder="1" applyAlignment="1">
      <alignment horizontal="center" vertical="center"/>
    </xf>
    <xf numFmtId="2" fontId="8" fillId="0" borderId="32" xfId="0" applyNumberFormat="1" applyFont="1" applyBorder="1" applyAlignment="1">
      <alignment horizontal="center" vertical="center"/>
    </xf>
    <xf numFmtId="0" fontId="26" fillId="0" borderId="22" xfId="0" applyFont="1" applyBorder="1" applyAlignment="1">
      <alignment horizontal="left" vertical="center"/>
    </xf>
    <xf numFmtId="0" fontId="26" fillId="0" borderId="23" xfId="0" applyFont="1" applyBorder="1" applyAlignment="1">
      <alignment horizontal="center" vertical="center" wrapText="1"/>
    </xf>
    <xf numFmtId="0" fontId="26" fillId="0" borderId="23" xfId="0" applyFont="1" applyBorder="1" applyAlignment="1">
      <alignment horizontal="center" vertical="center"/>
    </xf>
    <xf numFmtId="0" fontId="26" fillId="0" borderId="24" xfId="0" applyFont="1" applyBorder="1" applyAlignment="1">
      <alignment horizontal="center" vertical="center"/>
    </xf>
    <xf numFmtId="0" fontId="26" fillId="9" borderId="25" xfId="0" applyFont="1" applyFill="1" applyBorder="1" applyAlignment="1">
      <alignment vertical="center"/>
    </xf>
    <xf numFmtId="0" fontId="27" fillId="0" borderId="0" xfId="0" applyFont="1"/>
    <xf numFmtId="0" fontId="3" fillId="0" borderId="0" xfId="0" applyFont="1" applyAlignment="1">
      <alignment horizontal="center" wrapText="1"/>
    </xf>
    <xf numFmtId="0" fontId="0" fillId="0" borderId="0" xfId="0"/>
    <xf numFmtId="49" fontId="23" fillId="2" borderId="2" xfId="0" applyNumberFormat="1" applyFont="1" applyFill="1" applyBorder="1" applyAlignment="1">
      <alignment horizontal="left" wrapText="1"/>
    </xf>
    <xf numFmtId="0" fontId="24" fillId="0" borderId="3" xfId="0" applyFont="1" applyBorder="1"/>
    <xf numFmtId="0" fontId="24" fillId="0" borderId="4" xfId="0" applyFont="1" applyBorder="1"/>
    <xf numFmtId="2" fontId="19" fillId="0" borderId="28" xfId="0" applyNumberFormat="1" applyFont="1" applyBorder="1" applyAlignment="1">
      <alignment horizontal="center" vertical="center"/>
    </xf>
    <xf numFmtId="0" fontId="6" fillId="0" borderId="29" xfId="0" applyFont="1" applyBorder="1"/>
    <xf numFmtId="0" fontId="6" fillId="0" borderId="30" xfId="0" applyFont="1" applyBorder="1"/>
    <xf numFmtId="164" fontId="28" fillId="0" borderId="16" xfId="0" applyNumberFormat="1" applyFont="1" applyBorder="1" applyAlignment="1">
      <alignment horizontal="center"/>
    </xf>
  </cellXfs>
  <cellStyles count="1">
    <cellStyle name="Normal" xfId="0" builtinId="0"/>
  </cellStyles>
  <dxfs count="2">
    <dxf>
      <fill>
        <patternFill patternType="solid">
          <fgColor rgb="FFF6F8F9"/>
          <bgColor rgb="FFF6F8F9"/>
        </patternFill>
      </fill>
    </dxf>
    <dxf>
      <fill>
        <patternFill patternType="solid">
          <fgColor rgb="FFFFFFFF"/>
          <bgColor rgb="FFFFFFFF"/>
        </patternFill>
      </fill>
    </dxf>
  </dxfs>
  <tableStyles count="1">
    <tableStyle name="Feuil1-style" pivot="0" count="2" xr9:uid="{00000000-0011-0000-FFFF-FFFF00000000}">
      <tableStyleElement type="firstRowStripe" dxfId="1"/>
      <tableStyleElement type="secondRowStripe" dxfId="0"/>
    </tableStyle>
  </tableStyles>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276350" cy="4953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9"/>
  <sheetViews>
    <sheetView tabSelected="1" topLeftCell="A29" zoomScale="120" zoomScaleNormal="120" workbookViewId="0">
      <selection activeCell="K97" sqref="K97"/>
    </sheetView>
  </sheetViews>
  <sheetFormatPr baseColWidth="10" defaultColWidth="14.5" defaultRowHeight="15" customHeight="1" x14ac:dyDescent="0.2"/>
  <cols>
    <col min="1" max="1" width="39.6640625" customWidth="1"/>
    <col min="2" max="3" width="4.33203125" customWidth="1"/>
    <col min="4" max="4" width="13.83203125" customWidth="1"/>
    <col min="5" max="5" width="6.6640625" style="71" customWidth="1"/>
    <col min="6" max="6" width="6.5" customWidth="1"/>
    <col min="8" max="8" width="10.6640625" customWidth="1"/>
    <col min="9" max="9" width="9.83203125" customWidth="1"/>
    <col min="10" max="10" width="35.33203125" customWidth="1"/>
    <col min="11" max="11" width="9.83203125" customWidth="1"/>
    <col min="12" max="12" width="11.83203125" customWidth="1"/>
    <col min="13" max="13" width="15.5" customWidth="1"/>
    <col min="14" max="18" width="10.6640625" customWidth="1"/>
  </cols>
  <sheetData>
    <row r="1" spans="1:18" ht="48.75" customHeight="1" x14ac:dyDescent="0.2">
      <c r="A1" s="1"/>
      <c r="B1" s="2"/>
      <c r="C1" s="3"/>
      <c r="D1" s="111" t="s">
        <v>0</v>
      </c>
      <c r="E1" s="112"/>
      <c r="F1" s="4"/>
      <c r="G1" s="5"/>
      <c r="H1" s="6"/>
      <c r="I1" s="6"/>
      <c r="J1" s="6"/>
      <c r="K1" s="6"/>
      <c r="L1" s="6"/>
      <c r="M1" s="6"/>
      <c r="N1" s="6"/>
      <c r="O1" s="6"/>
      <c r="P1" s="6"/>
      <c r="Q1" s="6"/>
      <c r="R1" s="6"/>
    </row>
    <row r="2" spans="1:18" ht="37.5" customHeight="1" x14ac:dyDescent="0.2">
      <c r="A2" s="113" t="s">
        <v>112</v>
      </c>
      <c r="B2" s="114"/>
      <c r="C2" s="114"/>
      <c r="D2" s="114"/>
      <c r="E2" s="114"/>
      <c r="F2" s="115"/>
      <c r="G2" s="5"/>
      <c r="H2" s="6"/>
      <c r="I2" s="7"/>
      <c r="J2" s="6"/>
      <c r="K2" s="6"/>
      <c r="L2" s="6"/>
      <c r="M2" s="6"/>
      <c r="N2" s="6"/>
      <c r="O2" s="6"/>
      <c r="P2" s="6"/>
      <c r="Q2" s="6"/>
      <c r="R2" s="6"/>
    </row>
    <row r="3" spans="1:18" ht="16.5" customHeight="1" x14ac:dyDescent="0.2">
      <c r="A3" s="8" t="s">
        <v>1</v>
      </c>
      <c r="B3" s="9" t="s">
        <v>2</v>
      </c>
      <c r="C3" s="10" t="s">
        <v>3</v>
      </c>
      <c r="D3" s="11" t="s">
        <v>4</v>
      </c>
      <c r="E3" s="12" t="s">
        <v>5</v>
      </c>
      <c r="F3" s="12" t="s">
        <v>6</v>
      </c>
      <c r="G3" s="63" t="s">
        <v>111</v>
      </c>
      <c r="H3" s="13" t="s">
        <v>7</v>
      </c>
      <c r="I3" s="14"/>
      <c r="J3" s="14"/>
      <c r="K3" s="14"/>
      <c r="L3" s="14"/>
      <c r="M3" s="14"/>
      <c r="N3" s="14"/>
      <c r="O3" s="14"/>
      <c r="P3" s="14"/>
      <c r="Q3" s="14"/>
      <c r="R3" s="14"/>
    </row>
    <row r="4" spans="1:18" ht="16.5" customHeight="1" x14ac:dyDescent="0.2">
      <c r="A4" s="77" t="s">
        <v>9</v>
      </c>
      <c r="B4" s="34"/>
      <c r="C4" s="35"/>
      <c r="D4" s="36"/>
      <c r="E4" s="37"/>
      <c r="F4" s="37"/>
      <c r="G4" s="38"/>
      <c r="H4" s="38"/>
      <c r="I4" s="14"/>
      <c r="J4" s="14"/>
      <c r="K4" s="14"/>
      <c r="L4" s="14"/>
      <c r="M4" s="14"/>
      <c r="N4" s="14"/>
      <c r="O4" s="14"/>
      <c r="P4" s="14"/>
      <c r="Q4" s="14"/>
      <c r="R4" s="14"/>
    </row>
    <row r="5" spans="1:18" ht="16.5" customHeight="1" x14ac:dyDescent="0.2">
      <c r="A5" s="44" t="s">
        <v>101</v>
      </c>
      <c r="B5" s="45"/>
      <c r="C5" s="46"/>
      <c r="D5" s="47"/>
      <c r="E5" s="48"/>
      <c r="F5" s="49"/>
      <c r="G5" s="50"/>
      <c r="H5" s="43"/>
      <c r="I5" s="14"/>
      <c r="J5" s="14"/>
      <c r="K5" s="14"/>
      <c r="L5" s="14"/>
      <c r="M5" s="14"/>
      <c r="N5" s="14"/>
      <c r="O5" s="14"/>
      <c r="P5" s="14"/>
      <c r="Q5" s="14"/>
      <c r="R5" s="14"/>
    </row>
    <row r="6" spans="1:18" ht="16.5" customHeight="1" x14ac:dyDescent="0.2">
      <c r="A6" s="59" t="s">
        <v>102</v>
      </c>
      <c r="B6" s="60" t="s">
        <v>64</v>
      </c>
      <c r="C6" s="60">
        <v>504</v>
      </c>
      <c r="D6" s="61">
        <v>3168930176862</v>
      </c>
      <c r="E6" s="70">
        <v>1.65</v>
      </c>
      <c r="F6" s="60">
        <v>831.6</v>
      </c>
      <c r="G6" s="62"/>
      <c r="H6" s="43">
        <f>F6*G6</f>
        <v>0</v>
      </c>
      <c r="I6" s="14"/>
      <c r="J6" s="14"/>
      <c r="K6" s="14"/>
      <c r="L6" s="14"/>
      <c r="M6" s="14"/>
      <c r="N6" s="14"/>
      <c r="O6" s="14"/>
      <c r="P6" s="14"/>
      <c r="Q6" s="14"/>
      <c r="R6" s="14"/>
    </row>
    <row r="7" spans="1:18" ht="16.5" customHeight="1" x14ac:dyDescent="0.2">
      <c r="A7" s="59" t="s">
        <v>103</v>
      </c>
      <c r="B7" s="60" t="s">
        <v>64</v>
      </c>
      <c r="C7" s="60">
        <v>504</v>
      </c>
      <c r="D7" s="61">
        <v>3168930176831</v>
      </c>
      <c r="E7" s="70">
        <v>1.65</v>
      </c>
      <c r="F7" s="60">
        <v>831.6</v>
      </c>
      <c r="G7" s="62"/>
      <c r="H7" s="43">
        <f t="shared" ref="H7:H71" si="0">F7*G7</f>
        <v>0</v>
      </c>
      <c r="I7" s="14"/>
      <c r="J7" s="14"/>
      <c r="K7" s="14"/>
      <c r="L7" s="14"/>
      <c r="M7" s="14"/>
      <c r="N7" s="14"/>
      <c r="O7" s="14"/>
      <c r="P7" s="14"/>
      <c r="Q7" s="14"/>
      <c r="R7" s="14"/>
    </row>
    <row r="8" spans="1:18" ht="16.5" customHeight="1" x14ac:dyDescent="0.2">
      <c r="A8" s="59" t="s">
        <v>104</v>
      </c>
      <c r="B8" s="60" t="s">
        <v>64</v>
      </c>
      <c r="C8" s="60">
        <v>504</v>
      </c>
      <c r="D8" s="61">
        <v>3168930176893</v>
      </c>
      <c r="E8" s="70">
        <v>1.45</v>
      </c>
      <c r="F8" s="60">
        <v>730.8</v>
      </c>
      <c r="G8" s="62"/>
      <c r="H8" s="43">
        <f t="shared" si="0"/>
        <v>0</v>
      </c>
      <c r="I8" s="14"/>
      <c r="J8" s="14"/>
      <c r="K8" s="14"/>
      <c r="L8" s="14"/>
      <c r="M8" s="14"/>
      <c r="N8" s="14"/>
      <c r="O8" s="14"/>
      <c r="P8" s="14"/>
      <c r="Q8" s="14"/>
      <c r="R8" s="14"/>
    </row>
    <row r="9" spans="1:18" ht="16.5" customHeight="1" x14ac:dyDescent="0.2">
      <c r="A9" s="59" t="s">
        <v>105</v>
      </c>
      <c r="B9" s="60" t="s">
        <v>64</v>
      </c>
      <c r="C9" s="60">
        <v>504</v>
      </c>
      <c r="D9" s="61">
        <v>3168930176923</v>
      </c>
      <c r="E9" s="70">
        <v>1.65</v>
      </c>
      <c r="F9" s="60">
        <v>831.6</v>
      </c>
      <c r="G9" s="62"/>
      <c r="H9" s="43">
        <f t="shared" si="0"/>
        <v>0</v>
      </c>
      <c r="I9" s="14"/>
      <c r="J9" s="14"/>
      <c r="K9" s="14"/>
      <c r="L9" s="14"/>
      <c r="M9" s="14"/>
      <c r="N9" s="14"/>
      <c r="O9" s="14"/>
      <c r="P9" s="14"/>
      <c r="Q9" s="14"/>
      <c r="R9" s="14"/>
    </row>
    <row r="10" spans="1:18" ht="16.5" customHeight="1" x14ac:dyDescent="0.2">
      <c r="A10" s="59" t="s">
        <v>106</v>
      </c>
      <c r="B10" s="60" t="s">
        <v>64</v>
      </c>
      <c r="C10" s="60">
        <v>504</v>
      </c>
      <c r="D10" s="61">
        <v>3248710031335</v>
      </c>
      <c r="E10" s="70">
        <v>1.65</v>
      </c>
      <c r="F10" s="60">
        <v>831.6</v>
      </c>
      <c r="G10" s="62"/>
      <c r="H10" s="43">
        <f t="shared" si="0"/>
        <v>0</v>
      </c>
      <c r="I10" s="14"/>
      <c r="J10" s="14"/>
      <c r="K10" s="14"/>
      <c r="L10" s="14"/>
      <c r="M10" s="14"/>
      <c r="N10" s="14"/>
      <c r="O10" s="14"/>
      <c r="P10" s="14"/>
      <c r="Q10" s="14"/>
      <c r="R10" s="14"/>
    </row>
    <row r="11" spans="1:18" ht="16.5" customHeight="1" x14ac:dyDescent="0.2">
      <c r="A11" s="59" t="s">
        <v>107</v>
      </c>
      <c r="B11" s="60" t="s">
        <v>64</v>
      </c>
      <c r="C11" s="60">
        <v>504</v>
      </c>
      <c r="D11" s="61">
        <v>3248711044402</v>
      </c>
      <c r="E11" s="70">
        <v>1.8</v>
      </c>
      <c r="F11" s="60">
        <v>907.2</v>
      </c>
      <c r="G11" s="62"/>
      <c r="H11" s="43">
        <f t="shared" si="0"/>
        <v>0</v>
      </c>
      <c r="I11" s="14"/>
      <c r="J11" s="14"/>
      <c r="K11" s="14"/>
      <c r="L11" s="14"/>
      <c r="M11" s="14"/>
      <c r="N11" s="14"/>
      <c r="O11" s="14"/>
      <c r="P11" s="14"/>
      <c r="Q11" s="14"/>
      <c r="R11" s="14"/>
    </row>
    <row r="12" spans="1:18" ht="16.5" customHeight="1" x14ac:dyDescent="0.2">
      <c r="A12" s="59" t="s">
        <v>108</v>
      </c>
      <c r="B12" s="60" t="s">
        <v>64</v>
      </c>
      <c r="C12" s="60">
        <v>504</v>
      </c>
      <c r="D12" s="61">
        <v>3248711044419</v>
      </c>
      <c r="E12" s="70">
        <v>1.8</v>
      </c>
      <c r="F12" s="60">
        <v>907.2</v>
      </c>
      <c r="G12" s="62"/>
      <c r="H12" s="43">
        <f t="shared" si="0"/>
        <v>0</v>
      </c>
      <c r="I12" s="14"/>
      <c r="J12" s="14"/>
      <c r="K12" s="14"/>
      <c r="L12" s="14"/>
      <c r="M12" s="14"/>
      <c r="N12" s="14"/>
      <c r="O12" s="14"/>
      <c r="P12" s="14"/>
      <c r="Q12" s="14"/>
      <c r="R12" s="14"/>
    </row>
    <row r="13" spans="1:18" ht="16.5" customHeight="1" x14ac:dyDescent="0.2">
      <c r="A13" s="59" t="s">
        <v>109</v>
      </c>
      <c r="B13" s="60" t="s">
        <v>64</v>
      </c>
      <c r="C13" s="60">
        <v>504</v>
      </c>
      <c r="D13" s="61">
        <v>3248710510106</v>
      </c>
      <c r="E13" s="70">
        <v>1.65</v>
      </c>
      <c r="F13" s="60">
        <v>831.6</v>
      </c>
      <c r="G13" s="62"/>
      <c r="H13" s="43">
        <f t="shared" si="0"/>
        <v>0</v>
      </c>
      <c r="I13" s="14"/>
      <c r="J13" s="14"/>
      <c r="K13" s="14"/>
      <c r="L13" s="14"/>
      <c r="M13" s="14"/>
      <c r="N13" s="14"/>
      <c r="O13" s="14"/>
      <c r="P13" s="14"/>
      <c r="Q13" s="14"/>
      <c r="R13" s="14"/>
    </row>
    <row r="14" spans="1:18" ht="16.5" customHeight="1" x14ac:dyDescent="0.2">
      <c r="A14" s="59" t="s">
        <v>110</v>
      </c>
      <c r="B14" s="60" t="s">
        <v>64</v>
      </c>
      <c r="C14" s="60">
        <v>504</v>
      </c>
      <c r="D14" s="61">
        <v>3260221001393</v>
      </c>
      <c r="E14" s="70">
        <v>1.7</v>
      </c>
      <c r="F14" s="60">
        <v>856.8</v>
      </c>
      <c r="G14" s="62"/>
      <c r="H14" s="43">
        <f t="shared" si="0"/>
        <v>0</v>
      </c>
      <c r="I14" s="14"/>
      <c r="J14" s="14"/>
      <c r="K14" s="14"/>
      <c r="L14" s="14"/>
      <c r="M14" s="14"/>
      <c r="N14" s="14"/>
      <c r="O14" s="14"/>
      <c r="P14" s="14"/>
      <c r="Q14" s="14"/>
      <c r="R14" s="14"/>
    </row>
    <row r="15" spans="1:18" ht="16.5" customHeight="1" x14ac:dyDescent="0.2">
      <c r="A15" s="73" t="s">
        <v>113</v>
      </c>
      <c r="B15" s="56"/>
      <c r="C15" s="56"/>
      <c r="D15" s="57"/>
      <c r="E15" s="74"/>
      <c r="F15" s="56"/>
      <c r="G15" s="58"/>
      <c r="H15" s="43"/>
      <c r="I15" s="14"/>
      <c r="J15" s="14"/>
      <c r="K15" s="14"/>
      <c r="L15" s="14"/>
      <c r="M15" s="14"/>
      <c r="N15" s="14"/>
      <c r="O15" s="14"/>
      <c r="P15" s="14"/>
      <c r="Q15" s="14"/>
      <c r="R15" s="14"/>
    </row>
    <row r="16" spans="1:18" ht="16.5" customHeight="1" x14ac:dyDescent="0.2">
      <c r="A16" s="22" t="s">
        <v>65</v>
      </c>
      <c r="B16" s="23" t="s">
        <v>63</v>
      </c>
      <c r="C16" s="24">
        <v>6</v>
      </c>
      <c r="D16" s="18">
        <v>6130093062853</v>
      </c>
      <c r="E16" s="64">
        <v>1.6</v>
      </c>
      <c r="F16" s="20">
        <f>E16*C16</f>
        <v>9.6000000000000014</v>
      </c>
      <c r="G16" s="21"/>
      <c r="H16" s="43">
        <f>F16*G16</f>
        <v>0</v>
      </c>
      <c r="I16" s="14"/>
      <c r="J16" s="14"/>
      <c r="K16" s="14"/>
      <c r="L16" s="14"/>
      <c r="M16" s="14"/>
      <c r="N16" s="14"/>
      <c r="O16" s="14"/>
      <c r="P16" s="14"/>
      <c r="Q16" s="14"/>
      <c r="R16" s="14"/>
    </row>
    <row r="17" spans="1:18" ht="16.5" customHeight="1" x14ac:dyDescent="0.2">
      <c r="A17" s="22" t="s">
        <v>66</v>
      </c>
      <c r="B17" s="23" t="s">
        <v>63</v>
      </c>
      <c r="C17" s="24">
        <v>6</v>
      </c>
      <c r="D17" s="18">
        <v>6130093062846</v>
      </c>
      <c r="E17" s="64">
        <v>1.6</v>
      </c>
      <c r="F17" s="20">
        <f t="shared" ref="F17:F80" si="1">E17*C17</f>
        <v>9.6000000000000014</v>
      </c>
      <c r="G17" s="21"/>
      <c r="H17" s="43">
        <f>F17*G17</f>
        <v>0</v>
      </c>
      <c r="I17" s="14"/>
      <c r="J17" s="14"/>
      <c r="K17" s="14"/>
      <c r="L17" s="14"/>
      <c r="M17" s="14"/>
      <c r="N17" s="14"/>
      <c r="O17" s="14"/>
      <c r="P17" s="14"/>
      <c r="Q17" s="14"/>
      <c r="R17" s="14"/>
    </row>
    <row r="18" spans="1:18" ht="15" customHeight="1" x14ac:dyDescent="0.2">
      <c r="A18" s="22" t="s">
        <v>67</v>
      </c>
      <c r="B18" s="23" t="s">
        <v>63</v>
      </c>
      <c r="C18" s="24">
        <v>6</v>
      </c>
      <c r="D18" s="18">
        <v>6130093062792</v>
      </c>
      <c r="E18" s="64">
        <v>1.6</v>
      </c>
      <c r="F18" s="20">
        <f t="shared" si="1"/>
        <v>9.6000000000000014</v>
      </c>
      <c r="G18" s="21"/>
      <c r="H18" s="43">
        <f>F18*G18</f>
        <v>0</v>
      </c>
    </row>
    <row r="19" spans="1:18" ht="15" customHeight="1" x14ac:dyDescent="0.2">
      <c r="A19" s="51" t="s">
        <v>11</v>
      </c>
      <c r="B19" s="52"/>
      <c r="C19" s="53"/>
      <c r="D19" s="54"/>
      <c r="E19" s="68"/>
      <c r="F19" s="20"/>
      <c r="G19" s="55"/>
      <c r="H19" s="43"/>
    </row>
    <row r="20" spans="1:18" ht="15" customHeight="1" x14ac:dyDescent="0.2">
      <c r="A20" s="22" t="s">
        <v>12</v>
      </c>
      <c r="B20" s="23" t="s">
        <v>13</v>
      </c>
      <c r="C20" s="24">
        <v>24</v>
      </c>
      <c r="D20" s="18" t="s">
        <v>14</v>
      </c>
      <c r="E20" s="64">
        <v>0.85</v>
      </c>
      <c r="F20" s="20">
        <f t="shared" si="1"/>
        <v>20.399999999999999</v>
      </c>
      <c r="G20" s="21"/>
      <c r="H20" s="43">
        <f t="shared" si="0"/>
        <v>0</v>
      </c>
    </row>
    <row r="21" spans="1:18" ht="15" customHeight="1" x14ac:dyDescent="0.2">
      <c r="A21" s="22" t="s">
        <v>15</v>
      </c>
      <c r="B21" s="23" t="s">
        <v>13</v>
      </c>
      <c r="C21" s="24">
        <v>24</v>
      </c>
      <c r="D21" s="18" t="s">
        <v>16</v>
      </c>
      <c r="E21" s="64">
        <v>0.85</v>
      </c>
      <c r="F21" s="20">
        <f t="shared" si="1"/>
        <v>20.399999999999999</v>
      </c>
      <c r="G21" s="21"/>
      <c r="H21" s="43">
        <f t="shared" si="0"/>
        <v>0</v>
      </c>
    </row>
    <row r="22" spans="1:18" ht="15" customHeight="1" x14ac:dyDescent="0.2">
      <c r="A22" s="22" t="s">
        <v>17</v>
      </c>
      <c r="B22" s="23" t="s">
        <v>13</v>
      </c>
      <c r="C22" s="24">
        <v>24</v>
      </c>
      <c r="D22" s="18" t="s">
        <v>18</v>
      </c>
      <c r="E22" s="64">
        <v>0.85</v>
      </c>
      <c r="F22" s="20">
        <f t="shared" si="1"/>
        <v>20.399999999999999</v>
      </c>
      <c r="G22" s="21"/>
      <c r="H22" s="43">
        <f t="shared" si="0"/>
        <v>0</v>
      </c>
    </row>
    <row r="23" spans="1:18" ht="15" customHeight="1" x14ac:dyDescent="0.2">
      <c r="A23" s="22" t="s">
        <v>19</v>
      </c>
      <c r="B23" s="23" t="s">
        <v>13</v>
      </c>
      <c r="C23" s="24">
        <v>24</v>
      </c>
      <c r="D23" s="18" t="s">
        <v>20</v>
      </c>
      <c r="E23" s="64">
        <v>0.85</v>
      </c>
      <c r="F23" s="20">
        <f t="shared" si="1"/>
        <v>20.399999999999999</v>
      </c>
      <c r="G23" s="21"/>
      <c r="H23" s="43">
        <f t="shared" si="0"/>
        <v>0</v>
      </c>
    </row>
    <row r="24" spans="1:18" ht="15" customHeight="1" x14ac:dyDescent="0.2">
      <c r="A24" s="22" t="s">
        <v>21</v>
      </c>
      <c r="B24" s="23" t="s">
        <v>13</v>
      </c>
      <c r="C24" s="24">
        <v>24</v>
      </c>
      <c r="D24" s="18" t="s">
        <v>22</v>
      </c>
      <c r="E24" s="64">
        <v>0.85</v>
      </c>
      <c r="F24" s="20">
        <f t="shared" si="1"/>
        <v>20.399999999999999</v>
      </c>
      <c r="G24" s="21"/>
      <c r="H24" s="43">
        <f t="shared" si="0"/>
        <v>0</v>
      </c>
    </row>
    <row r="25" spans="1:18" ht="15" customHeight="1" x14ac:dyDescent="0.2">
      <c r="A25" s="22" t="s">
        <v>23</v>
      </c>
      <c r="B25" s="23" t="s">
        <v>13</v>
      </c>
      <c r="C25" s="24">
        <v>24</v>
      </c>
      <c r="D25" s="18" t="s">
        <v>24</v>
      </c>
      <c r="E25" s="64">
        <v>0.85</v>
      </c>
      <c r="F25" s="20">
        <f t="shared" si="1"/>
        <v>20.399999999999999</v>
      </c>
      <c r="G25" s="21"/>
      <c r="H25" s="43">
        <f t="shared" si="0"/>
        <v>0</v>
      </c>
    </row>
    <row r="26" spans="1:18" ht="15" customHeight="1" x14ac:dyDescent="0.2">
      <c r="A26" s="22" t="s">
        <v>25</v>
      </c>
      <c r="B26" s="23" t="s">
        <v>13</v>
      </c>
      <c r="C26" s="24">
        <v>24</v>
      </c>
      <c r="D26" s="18" t="s">
        <v>26</v>
      </c>
      <c r="E26" s="64">
        <v>0.85</v>
      </c>
      <c r="F26" s="20">
        <f t="shared" si="1"/>
        <v>20.399999999999999</v>
      </c>
      <c r="G26" s="21"/>
      <c r="H26" s="43">
        <f t="shared" si="0"/>
        <v>0</v>
      </c>
    </row>
    <row r="27" spans="1:18" ht="15" customHeight="1" x14ac:dyDescent="0.2">
      <c r="A27" s="22" t="s">
        <v>27</v>
      </c>
      <c r="B27" s="23" t="s">
        <v>13</v>
      </c>
      <c r="C27" s="24">
        <v>24</v>
      </c>
      <c r="D27" s="18" t="s">
        <v>28</v>
      </c>
      <c r="E27" s="64">
        <v>0.85</v>
      </c>
      <c r="F27" s="20">
        <f t="shared" si="1"/>
        <v>20.399999999999999</v>
      </c>
      <c r="G27" s="21"/>
      <c r="H27" s="43">
        <f t="shared" si="0"/>
        <v>0</v>
      </c>
    </row>
    <row r="28" spans="1:18" ht="15" customHeight="1" x14ac:dyDescent="0.2">
      <c r="A28" s="22" t="s">
        <v>29</v>
      </c>
      <c r="B28" s="23" t="s">
        <v>13</v>
      </c>
      <c r="C28" s="24">
        <v>24</v>
      </c>
      <c r="D28" s="18" t="s">
        <v>30</v>
      </c>
      <c r="E28" s="64">
        <v>0.85</v>
      </c>
      <c r="F28" s="20">
        <f t="shared" si="1"/>
        <v>20.399999999999999</v>
      </c>
      <c r="G28" s="21"/>
      <c r="H28" s="43">
        <f t="shared" si="0"/>
        <v>0</v>
      </c>
    </row>
    <row r="29" spans="1:18" ht="15" customHeight="1" x14ac:dyDescent="0.2">
      <c r="A29" s="22" t="s">
        <v>31</v>
      </c>
      <c r="B29" s="23" t="s">
        <v>13</v>
      </c>
      <c r="C29" s="24">
        <v>24</v>
      </c>
      <c r="D29" s="18" t="s">
        <v>32</v>
      </c>
      <c r="E29" s="64">
        <v>0.85</v>
      </c>
      <c r="F29" s="20">
        <f t="shared" si="1"/>
        <v>20.399999999999999</v>
      </c>
      <c r="G29" s="21"/>
      <c r="H29" s="43">
        <f t="shared" si="0"/>
        <v>0</v>
      </c>
    </row>
    <row r="30" spans="1:18" ht="15" customHeight="1" x14ac:dyDescent="0.2">
      <c r="A30" s="22" t="s">
        <v>33</v>
      </c>
      <c r="B30" s="23" t="s">
        <v>13</v>
      </c>
      <c r="C30" s="24">
        <v>24</v>
      </c>
      <c r="D30" s="18" t="s">
        <v>34</v>
      </c>
      <c r="E30" s="64">
        <v>0.85</v>
      </c>
      <c r="F30" s="20">
        <f t="shared" si="1"/>
        <v>20.399999999999999</v>
      </c>
      <c r="G30" s="21"/>
      <c r="H30" s="43">
        <f t="shared" si="0"/>
        <v>0</v>
      </c>
    </row>
    <row r="31" spans="1:18" ht="15" customHeight="1" x14ac:dyDescent="0.2">
      <c r="A31" s="22" t="s">
        <v>35</v>
      </c>
      <c r="B31" s="23" t="s">
        <v>13</v>
      </c>
      <c r="C31" s="24">
        <v>24</v>
      </c>
      <c r="D31" s="18" t="s">
        <v>36</v>
      </c>
      <c r="E31" s="64">
        <v>0.85</v>
      </c>
      <c r="F31" s="20">
        <f t="shared" si="1"/>
        <v>20.399999999999999</v>
      </c>
      <c r="G31" s="21"/>
      <c r="H31" s="43">
        <f t="shared" si="0"/>
        <v>0</v>
      </c>
    </row>
    <row r="32" spans="1:18" ht="15" customHeight="1" x14ac:dyDescent="0.2">
      <c r="A32" s="25" t="s">
        <v>37</v>
      </c>
      <c r="B32" s="26" t="s">
        <v>13</v>
      </c>
      <c r="C32" s="27">
        <v>24</v>
      </c>
      <c r="D32" s="29" t="s">
        <v>38</v>
      </c>
      <c r="E32" s="64">
        <v>0.85</v>
      </c>
      <c r="F32" s="20">
        <f t="shared" si="1"/>
        <v>20.399999999999999</v>
      </c>
      <c r="G32" s="21"/>
      <c r="H32" s="43">
        <f t="shared" si="0"/>
        <v>0</v>
      </c>
    </row>
    <row r="33" spans="1:8" ht="15" customHeight="1" x14ac:dyDescent="0.2">
      <c r="A33" s="15" t="s">
        <v>39</v>
      </c>
      <c r="B33" s="16"/>
      <c r="C33" s="17"/>
      <c r="D33" s="18"/>
      <c r="E33" s="66"/>
      <c r="F33" s="20"/>
      <c r="G33" s="21"/>
      <c r="H33" s="43"/>
    </row>
    <row r="34" spans="1:8" ht="15" customHeight="1" x14ac:dyDescent="0.2">
      <c r="A34" s="22" t="s">
        <v>40</v>
      </c>
      <c r="B34" s="23" t="s">
        <v>10</v>
      </c>
      <c r="C34" s="28">
        <v>24</v>
      </c>
      <c r="D34" s="18">
        <v>3700703700463</v>
      </c>
      <c r="E34" s="65">
        <v>0.52</v>
      </c>
      <c r="F34" s="20">
        <f t="shared" si="1"/>
        <v>12.48</v>
      </c>
      <c r="G34" s="21"/>
      <c r="H34" s="43">
        <f t="shared" si="0"/>
        <v>0</v>
      </c>
    </row>
    <row r="35" spans="1:8" ht="15" customHeight="1" x14ac:dyDescent="0.2">
      <c r="A35" s="22" t="s">
        <v>41</v>
      </c>
      <c r="B35" s="23" t="s">
        <v>10</v>
      </c>
      <c r="C35" s="28">
        <v>24</v>
      </c>
      <c r="D35" s="18">
        <v>3700703700470</v>
      </c>
      <c r="E35" s="65">
        <v>0.52</v>
      </c>
      <c r="F35" s="20">
        <f t="shared" si="1"/>
        <v>12.48</v>
      </c>
      <c r="G35" s="21"/>
      <c r="H35" s="43">
        <f t="shared" si="0"/>
        <v>0</v>
      </c>
    </row>
    <row r="36" spans="1:8" ht="15" customHeight="1" x14ac:dyDescent="0.2">
      <c r="A36" s="22" t="s">
        <v>42</v>
      </c>
      <c r="B36" s="23" t="s">
        <v>10</v>
      </c>
      <c r="C36" s="28">
        <v>24</v>
      </c>
      <c r="D36" s="31">
        <v>3700703700517</v>
      </c>
      <c r="E36" s="65">
        <v>0.52</v>
      </c>
      <c r="F36" s="20">
        <f t="shared" si="1"/>
        <v>12.48</v>
      </c>
      <c r="G36" s="21"/>
      <c r="H36" s="43">
        <f t="shared" si="0"/>
        <v>0</v>
      </c>
    </row>
    <row r="37" spans="1:8" ht="15" customHeight="1" x14ac:dyDescent="0.2">
      <c r="A37" s="22" t="s">
        <v>43</v>
      </c>
      <c r="B37" s="23" t="s">
        <v>10</v>
      </c>
      <c r="C37" s="28">
        <v>24</v>
      </c>
      <c r="D37" s="18">
        <v>3700703700371</v>
      </c>
      <c r="E37" s="65">
        <v>0.52</v>
      </c>
      <c r="F37" s="20">
        <f t="shared" si="1"/>
        <v>12.48</v>
      </c>
      <c r="G37" s="21"/>
      <c r="H37" s="43">
        <f t="shared" si="0"/>
        <v>0</v>
      </c>
    </row>
    <row r="38" spans="1:8" ht="15" customHeight="1" x14ac:dyDescent="0.2">
      <c r="A38" s="22" t="s">
        <v>44</v>
      </c>
      <c r="B38" s="23" t="s">
        <v>10</v>
      </c>
      <c r="C38" s="28">
        <v>24</v>
      </c>
      <c r="D38" s="18">
        <v>3700703700500</v>
      </c>
      <c r="E38" s="65">
        <v>0.52</v>
      </c>
      <c r="F38" s="20">
        <f t="shared" si="1"/>
        <v>12.48</v>
      </c>
      <c r="G38" s="21"/>
      <c r="H38" s="43">
        <f t="shared" si="0"/>
        <v>0</v>
      </c>
    </row>
    <row r="39" spans="1:8" ht="15" customHeight="1" x14ac:dyDescent="0.2">
      <c r="A39" s="22" t="s">
        <v>45</v>
      </c>
      <c r="B39" s="23" t="s">
        <v>10</v>
      </c>
      <c r="C39" s="28">
        <v>24</v>
      </c>
      <c r="D39" s="30">
        <v>3700703700548</v>
      </c>
      <c r="E39" s="65">
        <v>0.52</v>
      </c>
      <c r="F39" s="20">
        <f t="shared" si="1"/>
        <v>12.48</v>
      </c>
      <c r="G39" s="21"/>
      <c r="H39" s="43">
        <f t="shared" si="0"/>
        <v>0</v>
      </c>
    </row>
    <row r="40" spans="1:8" ht="15" customHeight="1" x14ac:dyDescent="0.2">
      <c r="A40" s="22" t="s">
        <v>46</v>
      </c>
      <c r="B40" s="23" t="s">
        <v>10</v>
      </c>
      <c r="C40" s="28">
        <v>24</v>
      </c>
      <c r="D40" s="18">
        <v>3700703700487</v>
      </c>
      <c r="E40" s="65">
        <v>0.52</v>
      </c>
      <c r="F40" s="20">
        <f t="shared" si="1"/>
        <v>12.48</v>
      </c>
      <c r="G40" s="21"/>
      <c r="H40" s="43">
        <f t="shared" si="0"/>
        <v>0</v>
      </c>
    </row>
    <row r="41" spans="1:8" ht="15" customHeight="1" x14ac:dyDescent="0.2">
      <c r="A41" s="22" t="s">
        <v>47</v>
      </c>
      <c r="B41" s="23" t="s">
        <v>10</v>
      </c>
      <c r="C41" s="24">
        <v>24</v>
      </c>
      <c r="D41" s="18">
        <v>3700703700494</v>
      </c>
      <c r="E41" s="65">
        <v>0.52</v>
      </c>
      <c r="F41" s="20">
        <f t="shared" si="1"/>
        <v>12.48</v>
      </c>
      <c r="G41" s="21"/>
      <c r="H41" s="43">
        <f t="shared" si="0"/>
        <v>0</v>
      </c>
    </row>
    <row r="42" spans="1:8" ht="15" customHeight="1" x14ac:dyDescent="0.2">
      <c r="A42" s="22" t="s">
        <v>48</v>
      </c>
      <c r="B42" s="23" t="s">
        <v>10</v>
      </c>
      <c r="C42" s="24">
        <v>24</v>
      </c>
      <c r="D42" s="18">
        <v>3700703700869</v>
      </c>
      <c r="E42" s="65">
        <v>0.52</v>
      </c>
      <c r="F42" s="20">
        <f t="shared" si="1"/>
        <v>12.48</v>
      </c>
      <c r="G42" s="21"/>
      <c r="H42" s="43">
        <f t="shared" si="0"/>
        <v>0</v>
      </c>
    </row>
    <row r="43" spans="1:8" ht="15" customHeight="1" x14ac:dyDescent="0.2">
      <c r="A43" s="22" t="s">
        <v>49</v>
      </c>
      <c r="B43" s="23" t="s">
        <v>10</v>
      </c>
      <c r="C43" s="24">
        <v>24</v>
      </c>
      <c r="D43" s="18">
        <v>3700703700883</v>
      </c>
      <c r="E43" s="65">
        <v>0.52</v>
      </c>
      <c r="F43" s="20">
        <f t="shared" si="1"/>
        <v>12.48</v>
      </c>
      <c r="G43" s="21"/>
      <c r="H43" s="43">
        <f t="shared" si="0"/>
        <v>0</v>
      </c>
    </row>
    <row r="44" spans="1:8" ht="15" customHeight="1" x14ac:dyDescent="0.2">
      <c r="A44" s="22" t="s">
        <v>50</v>
      </c>
      <c r="B44" s="23" t="s">
        <v>10</v>
      </c>
      <c r="C44" s="24">
        <v>24</v>
      </c>
      <c r="D44" s="18">
        <v>3700703701583</v>
      </c>
      <c r="E44" s="65">
        <v>0.52</v>
      </c>
      <c r="F44" s="20">
        <f t="shared" si="1"/>
        <v>12.48</v>
      </c>
      <c r="G44" s="21"/>
      <c r="H44" s="43">
        <f t="shared" si="0"/>
        <v>0</v>
      </c>
    </row>
    <row r="45" spans="1:8" ht="15" customHeight="1" x14ac:dyDescent="0.2">
      <c r="A45" s="22" t="s">
        <v>51</v>
      </c>
      <c r="B45" s="23" t="s">
        <v>10</v>
      </c>
      <c r="C45" s="24">
        <v>24</v>
      </c>
      <c r="D45" s="18">
        <v>3700703700920</v>
      </c>
      <c r="E45" s="65">
        <v>0.52</v>
      </c>
      <c r="F45" s="20">
        <f t="shared" si="1"/>
        <v>12.48</v>
      </c>
      <c r="G45" s="21"/>
      <c r="H45" s="43">
        <f t="shared" si="0"/>
        <v>0</v>
      </c>
    </row>
    <row r="46" spans="1:8" ht="15" customHeight="1" x14ac:dyDescent="0.2">
      <c r="A46" s="75" t="s">
        <v>52</v>
      </c>
      <c r="B46" s="23"/>
      <c r="C46" s="42"/>
      <c r="D46" s="18"/>
      <c r="E46" s="67"/>
      <c r="F46" s="20"/>
      <c r="G46" s="21"/>
      <c r="H46" s="43"/>
    </row>
    <row r="47" spans="1:8" ht="15" customHeight="1" x14ac:dyDescent="0.2">
      <c r="A47" s="22" t="s">
        <v>52</v>
      </c>
      <c r="B47" s="23" t="s">
        <v>10</v>
      </c>
      <c r="C47" s="24">
        <v>24</v>
      </c>
      <c r="D47" s="18">
        <v>5449000224590</v>
      </c>
      <c r="E47" s="64">
        <v>0.72</v>
      </c>
      <c r="F47" s="20">
        <f t="shared" si="1"/>
        <v>17.28</v>
      </c>
      <c r="G47" s="21"/>
      <c r="H47" s="43">
        <f t="shared" si="0"/>
        <v>0</v>
      </c>
    </row>
    <row r="48" spans="1:8" ht="15" customHeight="1" x14ac:dyDescent="0.2">
      <c r="A48" s="75" t="s">
        <v>114</v>
      </c>
      <c r="B48" s="23"/>
      <c r="C48" s="42"/>
      <c r="D48" s="18"/>
      <c r="E48" s="67"/>
      <c r="F48" s="20"/>
      <c r="G48" s="21"/>
      <c r="H48" s="43"/>
    </row>
    <row r="49" spans="1:8" ht="15" customHeight="1" x14ac:dyDescent="0.2">
      <c r="A49" s="22" t="s">
        <v>53</v>
      </c>
      <c r="B49" s="23" t="s">
        <v>10</v>
      </c>
      <c r="C49" s="24">
        <v>24</v>
      </c>
      <c r="D49" s="18">
        <v>8718226321572</v>
      </c>
      <c r="E49" s="64">
        <v>0.72</v>
      </c>
      <c r="F49" s="20">
        <f t="shared" si="1"/>
        <v>17.28</v>
      </c>
      <c r="G49" s="21"/>
      <c r="H49" s="43">
        <f t="shared" si="0"/>
        <v>0</v>
      </c>
    </row>
    <row r="50" spans="1:8" ht="15" customHeight="1" x14ac:dyDescent="0.2">
      <c r="A50" s="22" t="s">
        <v>54</v>
      </c>
      <c r="B50" s="23" t="s">
        <v>10</v>
      </c>
      <c r="C50" s="24">
        <v>24</v>
      </c>
      <c r="D50" s="18">
        <v>8718226321527</v>
      </c>
      <c r="E50" s="64">
        <v>0.72</v>
      </c>
      <c r="F50" s="20">
        <f t="shared" si="1"/>
        <v>17.28</v>
      </c>
      <c r="G50" s="21"/>
      <c r="H50" s="43">
        <f t="shared" si="0"/>
        <v>0</v>
      </c>
    </row>
    <row r="51" spans="1:8" ht="15" customHeight="1" x14ac:dyDescent="0.2">
      <c r="A51" s="22" t="s">
        <v>55</v>
      </c>
      <c r="B51" s="23" t="s">
        <v>10</v>
      </c>
      <c r="C51" s="24">
        <v>24</v>
      </c>
      <c r="D51" s="18">
        <v>8718226321534</v>
      </c>
      <c r="E51" s="64">
        <v>0.72</v>
      </c>
      <c r="F51" s="20">
        <f t="shared" si="1"/>
        <v>17.28</v>
      </c>
      <c r="G51" s="21"/>
      <c r="H51" s="43">
        <f t="shared" si="0"/>
        <v>0</v>
      </c>
    </row>
    <row r="52" spans="1:8" ht="15" customHeight="1" x14ac:dyDescent="0.2">
      <c r="A52" s="22" t="s">
        <v>56</v>
      </c>
      <c r="B52" s="23" t="s">
        <v>10</v>
      </c>
      <c r="C52" s="24">
        <v>24</v>
      </c>
      <c r="D52" s="18">
        <v>8718226321510</v>
      </c>
      <c r="E52" s="64">
        <v>0.72</v>
      </c>
      <c r="F52" s="20">
        <f t="shared" si="1"/>
        <v>17.28</v>
      </c>
      <c r="G52" s="21"/>
      <c r="H52" s="43">
        <f t="shared" si="0"/>
        <v>0</v>
      </c>
    </row>
    <row r="53" spans="1:8" ht="15" customHeight="1" x14ac:dyDescent="0.2">
      <c r="A53" s="75" t="s">
        <v>115</v>
      </c>
      <c r="B53" s="23"/>
      <c r="C53" s="42"/>
      <c r="D53" s="18"/>
      <c r="E53" s="67"/>
      <c r="F53" s="20"/>
      <c r="G53" s="21"/>
      <c r="H53" s="43"/>
    </row>
    <row r="54" spans="1:8" ht="15" customHeight="1" x14ac:dyDescent="0.2">
      <c r="A54" s="22" t="s">
        <v>57</v>
      </c>
      <c r="B54" s="23" t="s">
        <v>10</v>
      </c>
      <c r="C54" s="24">
        <v>24</v>
      </c>
      <c r="D54" s="18">
        <v>3502110004192</v>
      </c>
      <c r="E54" s="76">
        <v>0.58499999999999996</v>
      </c>
      <c r="F54" s="20">
        <f t="shared" si="1"/>
        <v>14.04</v>
      </c>
      <c r="G54" s="21"/>
      <c r="H54" s="43">
        <f t="shared" si="0"/>
        <v>0</v>
      </c>
    </row>
    <row r="55" spans="1:8" ht="15" customHeight="1" x14ac:dyDescent="0.2">
      <c r="A55" s="22" t="s">
        <v>58</v>
      </c>
      <c r="B55" s="23" t="s">
        <v>10</v>
      </c>
      <c r="C55" s="24">
        <v>24</v>
      </c>
      <c r="D55" s="18">
        <v>3502110002686</v>
      </c>
      <c r="E55" s="76">
        <v>0.58499999999999996</v>
      </c>
      <c r="F55" s="20">
        <f t="shared" si="1"/>
        <v>14.04</v>
      </c>
      <c r="G55" s="21"/>
      <c r="H55" s="43">
        <f t="shared" si="0"/>
        <v>0</v>
      </c>
    </row>
    <row r="56" spans="1:8" ht="15" customHeight="1" x14ac:dyDescent="0.2">
      <c r="A56" s="75" t="s">
        <v>116</v>
      </c>
      <c r="B56" s="23"/>
      <c r="C56" s="42"/>
      <c r="D56" s="18"/>
      <c r="E56" s="67"/>
      <c r="F56" s="20"/>
      <c r="G56" s="21"/>
      <c r="H56" s="43"/>
    </row>
    <row r="57" spans="1:8" ht="15" customHeight="1" x14ac:dyDescent="0.2">
      <c r="A57" s="22" t="s">
        <v>59</v>
      </c>
      <c r="B57" s="23" t="s">
        <v>8</v>
      </c>
      <c r="C57" s="24">
        <v>24</v>
      </c>
      <c r="D57" s="18">
        <v>8718226322029</v>
      </c>
      <c r="E57" s="76">
        <v>1.2150000000000001</v>
      </c>
      <c r="F57" s="20">
        <f t="shared" si="1"/>
        <v>29.160000000000004</v>
      </c>
      <c r="G57" s="21"/>
      <c r="H57" s="43">
        <f t="shared" si="0"/>
        <v>0</v>
      </c>
    </row>
    <row r="58" spans="1:8" ht="15" customHeight="1" x14ac:dyDescent="0.2">
      <c r="A58" s="22" t="s">
        <v>60</v>
      </c>
      <c r="B58" s="23" t="s">
        <v>8</v>
      </c>
      <c r="C58" s="24">
        <v>24</v>
      </c>
      <c r="D58" s="18">
        <v>8718226322005</v>
      </c>
      <c r="E58" s="76">
        <v>1.2150000000000001</v>
      </c>
      <c r="F58" s="20">
        <f t="shared" si="1"/>
        <v>29.160000000000004</v>
      </c>
      <c r="G58" s="21"/>
      <c r="H58" s="43">
        <f t="shared" si="0"/>
        <v>0</v>
      </c>
    </row>
    <row r="59" spans="1:8" ht="15" customHeight="1" x14ac:dyDescent="0.2">
      <c r="A59" s="22" t="s">
        <v>61</v>
      </c>
      <c r="B59" s="23" t="s">
        <v>8</v>
      </c>
      <c r="C59" s="24">
        <v>24</v>
      </c>
      <c r="D59" s="18">
        <v>8718226322036</v>
      </c>
      <c r="E59" s="76">
        <v>1.2150000000000001</v>
      </c>
      <c r="F59" s="20">
        <f t="shared" si="1"/>
        <v>29.160000000000004</v>
      </c>
      <c r="G59" s="21"/>
      <c r="H59" s="43">
        <f t="shared" si="0"/>
        <v>0</v>
      </c>
    </row>
    <row r="60" spans="1:8" ht="15" customHeight="1" x14ac:dyDescent="0.2">
      <c r="A60" s="22" t="s">
        <v>62</v>
      </c>
      <c r="B60" s="23" t="s">
        <v>8</v>
      </c>
      <c r="C60" s="24">
        <v>24</v>
      </c>
      <c r="D60" s="18">
        <v>8718226322012</v>
      </c>
      <c r="E60" s="76">
        <v>1.2150000000000001</v>
      </c>
      <c r="F60" s="20">
        <f t="shared" si="1"/>
        <v>29.160000000000004</v>
      </c>
      <c r="G60" s="21"/>
      <c r="H60" s="43">
        <f t="shared" si="0"/>
        <v>0</v>
      </c>
    </row>
    <row r="61" spans="1:8" ht="15" customHeight="1" x14ac:dyDescent="0.2">
      <c r="A61" s="33" t="s">
        <v>68</v>
      </c>
      <c r="B61" s="34"/>
      <c r="C61" s="35"/>
      <c r="D61" s="36"/>
      <c r="E61" s="37"/>
      <c r="F61" s="37"/>
      <c r="G61" s="38"/>
      <c r="H61" s="38"/>
    </row>
    <row r="62" spans="1:8" ht="15" customHeight="1" x14ac:dyDescent="0.2">
      <c r="A62" s="15" t="s">
        <v>69</v>
      </c>
      <c r="B62" s="16"/>
      <c r="C62" s="17"/>
      <c r="D62" s="18"/>
      <c r="E62" s="66"/>
      <c r="F62" s="20"/>
      <c r="G62" s="21"/>
      <c r="H62" s="43">
        <f t="shared" si="0"/>
        <v>0</v>
      </c>
    </row>
    <row r="63" spans="1:8" ht="15" customHeight="1" x14ac:dyDescent="0.2">
      <c r="A63" s="22" t="s">
        <v>70</v>
      </c>
      <c r="B63" s="23" t="s">
        <v>71</v>
      </c>
      <c r="C63" s="24">
        <v>12</v>
      </c>
      <c r="D63" s="18">
        <v>5410803520165</v>
      </c>
      <c r="E63" s="64">
        <v>2.2000000000000002</v>
      </c>
      <c r="F63" s="20">
        <f t="shared" si="1"/>
        <v>26.400000000000002</v>
      </c>
      <c r="G63" s="21"/>
      <c r="H63" s="43">
        <f t="shared" si="0"/>
        <v>0</v>
      </c>
    </row>
    <row r="64" spans="1:8" ht="15" customHeight="1" x14ac:dyDescent="0.2">
      <c r="A64" s="22" t="s">
        <v>72</v>
      </c>
      <c r="B64" s="23" t="s">
        <v>71</v>
      </c>
      <c r="C64" s="24">
        <v>12</v>
      </c>
      <c r="D64" s="18">
        <v>5410803520059</v>
      </c>
      <c r="E64" s="64">
        <v>2.2000000000000002</v>
      </c>
      <c r="F64" s="20">
        <f t="shared" si="1"/>
        <v>26.400000000000002</v>
      </c>
      <c r="G64" s="21"/>
      <c r="H64" s="43">
        <f t="shared" si="0"/>
        <v>0</v>
      </c>
    </row>
    <row r="65" spans="1:13" ht="15" customHeight="1" x14ac:dyDescent="0.2">
      <c r="A65" s="22" t="s">
        <v>73</v>
      </c>
      <c r="B65" s="23" t="s">
        <v>71</v>
      </c>
      <c r="C65" s="24">
        <v>12</v>
      </c>
      <c r="D65" s="18">
        <v>5410803520097</v>
      </c>
      <c r="E65" s="64">
        <v>2.2000000000000002</v>
      </c>
      <c r="F65" s="20">
        <f t="shared" si="1"/>
        <v>26.400000000000002</v>
      </c>
      <c r="G65" s="21"/>
      <c r="H65" s="43">
        <f t="shared" si="0"/>
        <v>0</v>
      </c>
    </row>
    <row r="66" spans="1:13" ht="15" customHeight="1" x14ac:dyDescent="0.2">
      <c r="A66" s="22" t="s">
        <v>74</v>
      </c>
      <c r="B66" s="23" t="s">
        <v>71</v>
      </c>
      <c r="C66" s="24">
        <v>12</v>
      </c>
      <c r="D66" s="18">
        <v>5410803520080</v>
      </c>
      <c r="E66" s="64">
        <v>2.2000000000000002</v>
      </c>
      <c r="F66" s="20">
        <f t="shared" si="1"/>
        <v>26.400000000000002</v>
      </c>
      <c r="G66" s="21"/>
      <c r="H66" s="43">
        <f t="shared" si="0"/>
        <v>0</v>
      </c>
      <c r="J66" s="110"/>
    </row>
    <row r="67" spans="1:13" ht="15" customHeight="1" x14ac:dyDescent="0.2">
      <c r="A67" s="22" t="s">
        <v>75</v>
      </c>
      <c r="B67" s="23" t="s">
        <v>71</v>
      </c>
      <c r="C67" s="24">
        <v>12</v>
      </c>
      <c r="D67" s="18">
        <v>5410803520011</v>
      </c>
      <c r="E67" s="64">
        <v>2.2000000000000002</v>
      </c>
      <c r="F67" s="20">
        <f t="shared" si="1"/>
        <v>26.400000000000002</v>
      </c>
      <c r="G67" s="21"/>
      <c r="H67" s="43">
        <f t="shared" si="0"/>
        <v>0</v>
      </c>
    </row>
    <row r="68" spans="1:13" ht="15" customHeight="1" x14ac:dyDescent="0.2">
      <c r="A68" s="22" t="s">
        <v>76</v>
      </c>
      <c r="B68" s="23" t="s">
        <v>71</v>
      </c>
      <c r="C68" s="24">
        <v>12</v>
      </c>
      <c r="D68" s="18">
        <v>5410803520141</v>
      </c>
      <c r="E68" s="64">
        <v>2.2000000000000002</v>
      </c>
      <c r="F68" s="20">
        <f t="shared" si="1"/>
        <v>26.400000000000002</v>
      </c>
      <c r="G68" s="21"/>
      <c r="H68" s="43">
        <f t="shared" si="0"/>
        <v>0</v>
      </c>
    </row>
    <row r="69" spans="1:13" ht="15" customHeight="1" x14ac:dyDescent="0.2">
      <c r="A69" s="22" t="s">
        <v>77</v>
      </c>
      <c r="B69" s="23" t="s">
        <v>71</v>
      </c>
      <c r="C69" s="24">
        <v>12</v>
      </c>
      <c r="D69" s="18">
        <v>5410803520073</v>
      </c>
      <c r="E69" s="64">
        <v>2.2000000000000002</v>
      </c>
      <c r="F69" s="20">
        <f t="shared" si="1"/>
        <v>26.400000000000002</v>
      </c>
      <c r="G69" s="21"/>
      <c r="H69" s="43">
        <f t="shared" si="0"/>
        <v>0</v>
      </c>
    </row>
    <row r="70" spans="1:13" ht="15" customHeight="1" x14ac:dyDescent="0.2">
      <c r="A70" s="22" t="s">
        <v>78</v>
      </c>
      <c r="B70" s="23" t="s">
        <v>71</v>
      </c>
      <c r="C70" s="24">
        <v>12</v>
      </c>
      <c r="D70" s="18">
        <v>5410803520271</v>
      </c>
      <c r="E70" s="64">
        <v>2.2000000000000002</v>
      </c>
      <c r="F70" s="20">
        <f t="shared" si="1"/>
        <v>26.400000000000002</v>
      </c>
      <c r="G70" s="21"/>
      <c r="H70" s="43">
        <f t="shared" si="0"/>
        <v>0</v>
      </c>
    </row>
    <row r="71" spans="1:13" ht="15" customHeight="1" x14ac:dyDescent="0.2">
      <c r="A71" s="22" t="s">
        <v>79</v>
      </c>
      <c r="B71" s="23" t="s">
        <v>71</v>
      </c>
      <c r="C71" s="24">
        <v>12</v>
      </c>
      <c r="D71" s="18">
        <v>5410803520189</v>
      </c>
      <c r="E71" s="64">
        <v>2.2000000000000002</v>
      </c>
      <c r="F71" s="20">
        <f t="shared" si="1"/>
        <v>26.400000000000002</v>
      </c>
      <c r="G71" s="21"/>
      <c r="H71" s="43">
        <f t="shared" si="0"/>
        <v>0</v>
      </c>
    </row>
    <row r="72" spans="1:13" ht="15" customHeight="1" thickBot="1" x14ac:dyDescent="0.25">
      <c r="A72" s="22" t="s">
        <v>80</v>
      </c>
      <c r="B72" s="23" t="s">
        <v>71</v>
      </c>
      <c r="C72" s="24">
        <v>12</v>
      </c>
      <c r="D72" s="18">
        <v>5410803520158</v>
      </c>
      <c r="E72" s="64">
        <v>2.2000000000000002</v>
      </c>
      <c r="F72" s="20">
        <f t="shared" si="1"/>
        <v>26.400000000000002</v>
      </c>
      <c r="G72" s="21"/>
      <c r="H72" s="43">
        <f t="shared" ref="H72:H82" si="2">F72*G72</f>
        <v>0</v>
      </c>
    </row>
    <row r="73" spans="1:13" ht="15" customHeight="1" thickBot="1" x14ac:dyDescent="0.25">
      <c r="A73" s="22" t="s">
        <v>81</v>
      </c>
      <c r="B73" s="23" t="s">
        <v>71</v>
      </c>
      <c r="C73" s="24">
        <v>12</v>
      </c>
      <c r="D73" s="18">
        <v>5410803520066</v>
      </c>
      <c r="E73" s="64">
        <v>2.2000000000000002</v>
      </c>
      <c r="F73" s="20">
        <f t="shared" si="1"/>
        <v>26.400000000000002</v>
      </c>
      <c r="G73" s="21"/>
      <c r="H73" s="43">
        <f t="shared" si="2"/>
        <v>0</v>
      </c>
      <c r="J73" s="109" t="s">
        <v>132</v>
      </c>
      <c r="K73" s="95"/>
      <c r="L73" s="95"/>
      <c r="M73" s="96"/>
    </row>
    <row r="74" spans="1:13" ht="15" customHeight="1" x14ac:dyDescent="0.2">
      <c r="A74" s="22" t="s">
        <v>82</v>
      </c>
      <c r="B74" s="23" t="s">
        <v>71</v>
      </c>
      <c r="C74" s="24">
        <v>12</v>
      </c>
      <c r="D74" s="18">
        <v>5410803520110</v>
      </c>
      <c r="E74" s="64">
        <v>2.2000000000000002</v>
      </c>
      <c r="F74" s="20">
        <f t="shared" si="1"/>
        <v>26.400000000000002</v>
      </c>
      <c r="G74" s="21"/>
      <c r="H74" s="43">
        <f t="shared" si="2"/>
        <v>0</v>
      </c>
      <c r="J74" s="105" t="s">
        <v>118</v>
      </c>
      <c r="K74" s="106" t="s">
        <v>129</v>
      </c>
      <c r="L74" s="107" t="s">
        <v>130</v>
      </c>
      <c r="M74" s="108" t="s">
        <v>131</v>
      </c>
    </row>
    <row r="75" spans="1:13" ht="15" customHeight="1" x14ac:dyDescent="0.2">
      <c r="A75" s="22" t="s">
        <v>83</v>
      </c>
      <c r="B75" s="23" t="s">
        <v>71</v>
      </c>
      <c r="C75" s="24">
        <v>12</v>
      </c>
      <c r="D75" s="18">
        <v>5410803520042</v>
      </c>
      <c r="E75" s="64">
        <v>2.2000000000000002</v>
      </c>
      <c r="F75" s="20">
        <f t="shared" si="1"/>
        <v>26.400000000000002</v>
      </c>
      <c r="G75" s="21"/>
      <c r="H75" s="43">
        <f t="shared" si="2"/>
        <v>0</v>
      </c>
      <c r="J75" s="90" t="s">
        <v>119</v>
      </c>
      <c r="K75" s="89">
        <v>3</v>
      </c>
      <c r="L75" s="89">
        <f>K75*12</f>
        <v>36</v>
      </c>
      <c r="M75" s="91">
        <v>8410525179914</v>
      </c>
    </row>
    <row r="76" spans="1:13" ht="15" customHeight="1" x14ac:dyDescent="0.2">
      <c r="A76" s="22" t="s">
        <v>84</v>
      </c>
      <c r="B76" s="23" t="s">
        <v>71</v>
      </c>
      <c r="C76" s="24">
        <v>12</v>
      </c>
      <c r="D76" s="18">
        <v>5410803520035</v>
      </c>
      <c r="E76" s="64">
        <v>2.2000000000000002</v>
      </c>
      <c r="F76" s="20">
        <f t="shared" si="1"/>
        <v>26.400000000000002</v>
      </c>
      <c r="G76" s="21"/>
      <c r="H76" s="43">
        <f t="shared" si="2"/>
        <v>0</v>
      </c>
      <c r="J76" s="90" t="s">
        <v>120</v>
      </c>
      <c r="K76" s="89">
        <v>3</v>
      </c>
      <c r="L76" s="89">
        <f t="shared" ref="L76:L84" si="3">K76*12</f>
        <v>36</v>
      </c>
      <c r="M76" s="91">
        <v>8410525116742</v>
      </c>
    </row>
    <row r="77" spans="1:13" ht="15" customHeight="1" x14ac:dyDescent="0.2">
      <c r="A77" s="22" t="s">
        <v>85</v>
      </c>
      <c r="B77" s="23" t="s">
        <v>71</v>
      </c>
      <c r="C77" s="24">
        <v>12</v>
      </c>
      <c r="D77" s="18">
        <v>5410803520172</v>
      </c>
      <c r="E77" s="64">
        <v>2.2000000000000002</v>
      </c>
      <c r="F77" s="20">
        <f t="shared" si="1"/>
        <v>26.400000000000002</v>
      </c>
      <c r="G77" s="21"/>
      <c r="H77" s="43">
        <f t="shared" si="2"/>
        <v>0</v>
      </c>
      <c r="J77" s="90" t="s">
        <v>121</v>
      </c>
      <c r="K77" s="89">
        <v>3</v>
      </c>
      <c r="L77" s="89">
        <f t="shared" si="3"/>
        <v>36</v>
      </c>
      <c r="M77" s="91">
        <v>8410525116834</v>
      </c>
    </row>
    <row r="78" spans="1:13" ht="15" customHeight="1" x14ac:dyDescent="0.2">
      <c r="A78" s="22" t="s">
        <v>86</v>
      </c>
      <c r="B78" s="23" t="s">
        <v>71</v>
      </c>
      <c r="C78" s="24">
        <v>12</v>
      </c>
      <c r="D78" s="18">
        <v>5410803520004</v>
      </c>
      <c r="E78" s="64">
        <v>2.2000000000000002</v>
      </c>
      <c r="F78" s="20">
        <f t="shared" si="1"/>
        <v>26.400000000000002</v>
      </c>
      <c r="G78" s="21"/>
      <c r="H78" s="43">
        <f t="shared" si="2"/>
        <v>0</v>
      </c>
      <c r="J78" s="90" t="s">
        <v>122</v>
      </c>
      <c r="K78" s="89">
        <v>3</v>
      </c>
      <c r="L78" s="89">
        <f t="shared" si="3"/>
        <v>36</v>
      </c>
      <c r="M78" s="91">
        <v>8410525116728</v>
      </c>
    </row>
    <row r="79" spans="1:13" ht="15" customHeight="1" x14ac:dyDescent="0.2">
      <c r="A79" s="22" t="s">
        <v>87</v>
      </c>
      <c r="B79" s="23" t="s">
        <v>71</v>
      </c>
      <c r="C79" s="24">
        <v>12</v>
      </c>
      <c r="D79" s="18">
        <v>5410803003415</v>
      </c>
      <c r="E79" s="64">
        <v>2.2000000000000002</v>
      </c>
      <c r="F79" s="20">
        <f t="shared" si="1"/>
        <v>26.400000000000002</v>
      </c>
      <c r="G79" s="21"/>
      <c r="H79" s="43">
        <f t="shared" si="2"/>
        <v>0</v>
      </c>
      <c r="J79" s="90" t="s">
        <v>123</v>
      </c>
      <c r="K79" s="89">
        <v>6</v>
      </c>
      <c r="L79" s="89">
        <f t="shared" si="3"/>
        <v>72</v>
      </c>
      <c r="M79" s="91">
        <v>8410525116704</v>
      </c>
    </row>
    <row r="80" spans="1:13" ht="15" customHeight="1" x14ac:dyDescent="0.2">
      <c r="A80" s="22" t="s">
        <v>88</v>
      </c>
      <c r="B80" s="23" t="s">
        <v>71</v>
      </c>
      <c r="C80" s="24">
        <v>12</v>
      </c>
      <c r="D80" s="18">
        <v>5410803009370</v>
      </c>
      <c r="E80" s="64">
        <v>2.2000000000000002</v>
      </c>
      <c r="F80" s="20">
        <f t="shared" si="1"/>
        <v>26.400000000000002</v>
      </c>
      <c r="G80" s="21"/>
      <c r="H80" s="43">
        <f t="shared" si="2"/>
        <v>0</v>
      </c>
      <c r="J80" s="90" t="s">
        <v>124</v>
      </c>
      <c r="K80" s="89">
        <v>6</v>
      </c>
      <c r="L80" s="89">
        <f t="shared" si="3"/>
        <v>72</v>
      </c>
      <c r="M80" s="91">
        <v>8410525121500</v>
      </c>
    </row>
    <row r="81" spans="1:13" ht="15" customHeight="1" x14ac:dyDescent="0.2">
      <c r="A81" s="22" t="s">
        <v>89</v>
      </c>
      <c r="B81" s="23" t="s">
        <v>71</v>
      </c>
      <c r="C81" s="24">
        <v>12</v>
      </c>
      <c r="D81" s="18">
        <v>5410803520257</v>
      </c>
      <c r="E81" s="64">
        <v>2.2000000000000002</v>
      </c>
      <c r="F81" s="20">
        <f t="shared" ref="F81:F89" si="4">E81*C81</f>
        <v>26.400000000000002</v>
      </c>
      <c r="G81" s="21"/>
      <c r="H81" s="43">
        <f t="shared" si="2"/>
        <v>0</v>
      </c>
      <c r="J81" s="90" t="s">
        <v>125</v>
      </c>
      <c r="K81" s="89">
        <v>3</v>
      </c>
      <c r="L81" s="89">
        <f t="shared" si="3"/>
        <v>36</v>
      </c>
      <c r="M81" s="91">
        <v>8410525160554</v>
      </c>
    </row>
    <row r="82" spans="1:13" ht="15" customHeight="1" x14ac:dyDescent="0.2">
      <c r="A82" s="22" t="s">
        <v>90</v>
      </c>
      <c r="B82" s="23" t="s">
        <v>71</v>
      </c>
      <c r="C82" s="24">
        <v>12</v>
      </c>
      <c r="D82" s="18">
        <v>5410803520103</v>
      </c>
      <c r="E82" s="64">
        <v>2.2000000000000002</v>
      </c>
      <c r="F82" s="20">
        <f t="shared" si="4"/>
        <v>26.400000000000002</v>
      </c>
      <c r="G82" s="21"/>
      <c r="H82" s="43">
        <f t="shared" si="2"/>
        <v>0</v>
      </c>
      <c r="I82" s="88"/>
      <c r="J82" s="90" t="s">
        <v>126</v>
      </c>
      <c r="K82" s="89">
        <v>3</v>
      </c>
      <c r="L82" s="89">
        <f t="shared" si="3"/>
        <v>36</v>
      </c>
      <c r="M82" s="91">
        <v>8410525178085</v>
      </c>
    </row>
    <row r="83" spans="1:13" ht="15" customHeight="1" x14ac:dyDescent="0.2">
      <c r="A83" s="81" t="s">
        <v>92</v>
      </c>
      <c r="B83" s="82"/>
      <c r="C83" s="83"/>
      <c r="D83" s="84"/>
      <c r="E83" s="85"/>
      <c r="F83" s="86"/>
      <c r="G83" s="87"/>
      <c r="H83" s="87"/>
      <c r="I83" s="88"/>
      <c r="J83" s="90" t="s">
        <v>127</v>
      </c>
      <c r="K83" s="89">
        <v>3</v>
      </c>
      <c r="L83" s="89">
        <f t="shared" si="3"/>
        <v>36</v>
      </c>
      <c r="M83" s="91">
        <v>8410525116711</v>
      </c>
    </row>
    <row r="84" spans="1:13" ht="15" customHeight="1" thickBot="1" x14ac:dyDescent="0.25">
      <c r="A84" s="15" t="s">
        <v>99</v>
      </c>
      <c r="B84" s="16"/>
      <c r="C84" s="17"/>
      <c r="D84" s="97"/>
      <c r="E84" s="19"/>
      <c r="F84" s="20"/>
      <c r="G84" s="21"/>
      <c r="H84" s="43">
        <f>F84*G84</f>
        <v>0</v>
      </c>
      <c r="I84" s="88"/>
      <c r="J84" s="92" t="s">
        <v>128</v>
      </c>
      <c r="K84" s="93">
        <v>3</v>
      </c>
      <c r="L84" s="93">
        <f t="shared" si="3"/>
        <v>36</v>
      </c>
      <c r="M84" s="94">
        <v>8410525116766</v>
      </c>
    </row>
    <row r="85" spans="1:13" ht="15" customHeight="1" x14ac:dyDescent="0.2">
      <c r="A85" s="78" t="s">
        <v>117</v>
      </c>
      <c r="B85" s="79" t="s">
        <v>91</v>
      </c>
      <c r="C85" s="80">
        <v>396</v>
      </c>
      <c r="D85" s="119">
        <v>8410525277269</v>
      </c>
      <c r="E85" s="64">
        <v>0.6</v>
      </c>
      <c r="F85" s="20">
        <f t="shared" si="4"/>
        <v>237.6</v>
      </c>
      <c r="G85" s="69"/>
      <c r="H85" s="43">
        <f t="shared" ref="H85:H89" si="5">F85*G85</f>
        <v>0</v>
      </c>
      <c r="I85" s="88"/>
    </row>
    <row r="86" spans="1:13" ht="15" customHeight="1" x14ac:dyDescent="0.2">
      <c r="A86" s="15" t="s">
        <v>93</v>
      </c>
      <c r="B86" s="16"/>
      <c r="C86" s="17"/>
      <c r="D86" s="54"/>
      <c r="E86" s="66"/>
      <c r="F86" s="20"/>
      <c r="G86" s="21"/>
      <c r="H86" s="43">
        <f t="shared" si="5"/>
        <v>0</v>
      </c>
      <c r="I86" s="88"/>
    </row>
    <row r="87" spans="1:13" ht="15" customHeight="1" x14ac:dyDescent="0.2">
      <c r="A87" s="22" t="s">
        <v>94</v>
      </c>
      <c r="B87" s="23" t="s">
        <v>95</v>
      </c>
      <c r="C87" s="24">
        <v>6</v>
      </c>
      <c r="D87" s="18">
        <v>3760317581179</v>
      </c>
      <c r="E87" s="64">
        <v>5.99</v>
      </c>
      <c r="F87" s="20">
        <f t="shared" si="4"/>
        <v>35.94</v>
      </c>
      <c r="G87" s="21"/>
      <c r="H87" s="43">
        <f t="shared" si="5"/>
        <v>0</v>
      </c>
      <c r="I87" s="88"/>
    </row>
    <row r="88" spans="1:13" ht="15" customHeight="1" x14ac:dyDescent="0.2">
      <c r="A88" s="25" t="s">
        <v>96</v>
      </c>
      <c r="B88" s="23" t="s">
        <v>97</v>
      </c>
      <c r="C88" s="24">
        <v>12</v>
      </c>
      <c r="D88" s="18">
        <v>3770038398024</v>
      </c>
      <c r="E88" s="64">
        <v>3.9</v>
      </c>
      <c r="F88" s="20">
        <f t="shared" si="4"/>
        <v>46.8</v>
      </c>
      <c r="G88" s="21"/>
      <c r="H88" s="43">
        <f t="shared" si="5"/>
        <v>0</v>
      </c>
      <c r="I88" s="88"/>
    </row>
    <row r="89" spans="1:13" ht="15" customHeight="1" thickBot="1" x14ac:dyDescent="0.25">
      <c r="A89" s="25" t="s">
        <v>98</v>
      </c>
      <c r="B89" s="23" t="s">
        <v>97</v>
      </c>
      <c r="C89" s="24">
        <v>12</v>
      </c>
      <c r="D89" s="97">
        <v>3770038398031</v>
      </c>
      <c r="E89" s="98">
        <v>3.9</v>
      </c>
      <c r="F89" s="99">
        <f t="shared" si="4"/>
        <v>46.8</v>
      </c>
      <c r="G89" s="100"/>
      <c r="H89" s="101">
        <f t="shared" si="5"/>
        <v>0</v>
      </c>
      <c r="I89" s="88"/>
    </row>
    <row r="90" spans="1:13" ht="15.75" customHeight="1" thickBot="1" x14ac:dyDescent="0.25">
      <c r="A90" s="32"/>
      <c r="C90" s="32"/>
      <c r="D90" s="116" t="s">
        <v>100</v>
      </c>
      <c r="E90" s="117"/>
      <c r="F90" s="118"/>
      <c r="G90" s="102">
        <f>SUM(G19:G89)</f>
        <v>0</v>
      </c>
      <c r="H90" s="103">
        <f>SUM(H6:H89)</f>
        <v>0</v>
      </c>
      <c r="I90" s="104" t="s">
        <v>7</v>
      </c>
    </row>
    <row r="91" spans="1:13" ht="15.75" customHeight="1" x14ac:dyDescent="0.2">
      <c r="A91" s="32"/>
      <c r="C91" s="32"/>
      <c r="D91" s="39"/>
      <c r="E91" s="72"/>
      <c r="G91" s="40"/>
      <c r="I91" s="88"/>
    </row>
    <row r="92" spans="1:13" ht="15.75" customHeight="1" x14ac:dyDescent="0.2">
      <c r="E92" s="72"/>
      <c r="G92" s="40"/>
    </row>
    <row r="93" spans="1:13" ht="15.75" customHeight="1" x14ac:dyDescent="0.2">
      <c r="E93" s="72"/>
      <c r="G93" s="40"/>
    </row>
    <row r="94" spans="1:13" ht="15.75" customHeight="1" x14ac:dyDescent="0.2">
      <c r="E94" s="72"/>
      <c r="G94" s="40"/>
    </row>
    <row r="95" spans="1:13" ht="15.75" customHeight="1" x14ac:dyDescent="0.2">
      <c r="E95" s="72"/>
      <c r="G95" s="40"/>
    </row>
    <row r="96" spans="1:13" ht="15.75" customHeight="1" x14ac:dyDescent="0.2">
      <c r="E96" s="72"/>
      <c r="G96" s="40"/>
    </row>
    <row r="97" spans="1:7" ht="15.75" customHeight="1" x14ac:dyDescent="0.2">
      <c r="E97" s="72"/>
      <c r="G97" s="40"/>
    </row>
    <row r="98" spans="1:7" ht="15.75" customHeight="1" x14ac:dyDescent="0.2">
      <c r="E98" s="72"/>
      <c r="G98" s="40"/>
    </row>
    <row r="99" spans="1:7" ht="15.75" customHeight="1" x14ac:dyDescent="0.2">
      <c r="E99" s="72"/>
      <c r="G99" s="40"/>
    </row>
    <row r="100" spans="1:7" ht="15.75" customHeight="1" x14ac:dyDescent="0.2">
      <c r="A100" s="32"/>
      <c r="C100" s="32"/>
      <c r="D100" s="39"/>
      <c r="E100" s="72"/>
      <c r="G100" s="40"/>
    </row>
    <row r="101" spans="1:7" ht="15.75" customHeight="1" x14ac:dyDescent="0.2">
      <c r="A101" s="32"/>
      <c r="C101" s="32"/>
      <c r="D101" s="39"/>
      <c r="E101" s="72"/>
      <c r="G101" s="40"/>
    </row>
    <row r="102" spans="1:7" ht="15.75" customHeight="1" x14ac:dyDescent="0.2">
      <c r="A102" s="32"/>
      <c r="C102" s="32"/>
      <c r="D102" s="39"/>
      <c r="E102" s="72"/>
      <c r="G102" s="40"/>
    </row>
    <row r="103" spans="1:7" ht="15.75" customHeight="1" x14ac:dyDescent="0.2">
      <c r="A103" s="32"/>
      <c r="C103" s="32"/>
      <c r="D103" s="39"/>
      <c r="E103" s="72"/>
      <c r="G103" s="40"/>
    </row>
    <row r="104" spans="1:7" ht="15.75" customHeight="1" x14ac:dyDescent="0.2">
      <c r="A104" s="32"/>
      <c r="C104" s="32"/>
      <c r="D104" s="39"/>
      <c r="E104" s="72"/>
      <c r="G104" s="40"/>
    </row>
    <row r="105" spans="1:7" ht="15.75" customHeight="1" x14ac:dyDescent="0.2">
      <c r="A105" s="32"/>
      <c r="C105" s="32"/>
      <c r="D105" s="39"/>
      <c r="E105" s="72"/>
      <c r="G105" s="40"/>
    </row>
    <row r="106" spans="1:7" ht="15.75" customHeight="1" x14ac:dyDescent="0.2">
      <c r="A106" s="32"/>
      <c r="C106" s="32"/>
      <c r="D106" s="39"/>
      <c r="E106" s="72"/>
      <c r="G106" s="40"/>
    </row>
    <row r="107" spans="1:7" ht="15.75" customHeight="1" x14ac:dyDescent="0.2">
      <c r="A107" s="32"/>
      <c r="C107" s="32"/>
      <c r="D107" s="39"/>
      <c r="E107" s="72"/>
      <c r="G107" s="40"/>
    </row>
    <row r="108" spans="1:7" ht="15.75" customHeight="1" x14ac:dyDescent="0.2">
      <c r="A108" s="32"/>
      <c r="C108" s="32"/>
      <c r="D108" s="39"/>
      <c r="E108" s="72"/>
      <c r="G108" s="40"/>
    </row>
    <row r="109" spans="1:7" ht="15.75" customHeight="1" x14ac:dyDescent="0.2">
      <c r="A109" s="32"/>
      <c r="C109" s="32"/>
      <c r="D109" s="39"/>
      <c r="E109" s="72"/>
      <c r="G109" s="40"/>
    </row>
    <row r="110" spans="1:7" ht="15.75" customHeight="1" x14ac:dyDescent="0.2">
      <c r="A110" s="32"/>
      <c r="C110" s="32"/>
      <c r="D110" s="39"/>
      <c r="E110" s="72"/>
      <c r="G110" s="40"/>
    </row>
    <row r="111" spans="1:7" ht="15.75" customHeight="1" x14ac:dyDescent="0.2">
      <c r="A111" s="32"/>
      <c r="C111" s="32"/>
      <c r="D111" s="39"/>
      <c r="E111" s="72"/>
      <c r="G111" s="40"/>
    </row>
    <row r="112" spans="1:7" ht="15.75" customHeight="1" x14ac:dyDescent="0.2">
      <c r="A112" s="32"/>
      <c r="C112" s="32"/>
      <c r="D112" s="39"/>
      <c r="E112" s="72"/>
      <c r="G112" s="40"/>
    </row>
    <row r="113" spans="1:7" ht="15.75" customHeight="1" x14ac:dyDescent="0.2">
      <c r="A113" s="32"/>
      <c r="C113" s="32"/>
      <c r="D113" s="39"/>
      <c r="E113" s="72"/>
      <c r="G113" s="40"/>
    </row>
    <row r="114" spans="1:7" ht="15.75" customHeight="1" x14ac:dyDescent="0.2">
      <c r="A114" s="32"/>
      <c r="C114" s="32"/>
      <c r="D114" s="39"/>
      <c r="E114" s="72"/>
      <c r="G114" s="40"/>
    </row>
    <row r="115" spans="1:7" ht="15.75" customHeight="1" x14ac:dyDescent="0.2">
      <c r="A115" s="32"/>
      <c r="C115" s="32"/>
      <c r="D115" s="39"/>
      <c r="E115" s="72"/>
      <c r="G115" s="40"/>
    </row>
    <row r="116" spans="1:7" ht="15.75" customHeight="1" x14ac:dyDescent="0.2">
      <c r="A116" s="32"/>
      <c r="C116" s="32"/>
      <c r="D116" s="39"/>
      <c r="E116" s="72"/>
      <c r="G116" s="40"/>
    </row>
    <row r="117" spans="1:7" ht="15.75" customHeight="1" x14ac:dyDescent="0.2">
      <c r="A117" s="32"/>
      <c r="C117" s="32"/>
      <c r="D117" s="39"/>
      <c r="E117" s="72"/>
      <c r="G117" s="40"/>
    </row>
    <row r="118" spans="1:7" ht="15.75" customHeight="1" x14ac:dyDescent="0.2">
      <c r="A118" s="32"/>
      <c r="C118" s="32"/>
      <c r="D118" s="39"/>
      <c r="E118" s="72"/>
      <c r="G118" s="40"/>
    </row>
    <row r="119" spans="1:7" ht="15.75" customHeight="1" x14ac:dyDescent="0.2">
      <c r="A119" s="32"/>
      <c r="C119" s="32"/>
      <c r="D119" s="39"/>
      <c r="E119" s="72"/>
      <c r="G119" s="40"/>
    </row>
    <row r="120" spans="1:7" ht="15.75" customHeight="1" x14ac:dyDescent="0.2">
      <c r="A120" s="32"/>
      <c r="C120" s="32"/>
      <c r="D120" s="39"/>
      <c r="E120" s="72"/>
      <c r="G120" s="40"/>
    </row>
    <row r="121" spans="1:7" ht="15.75" customHeight="1" x14ac:dyDescent="0.2">
      <c r="A121" s="32"/>
      <c r="C121" s="32"/>
      <c r="D121" s="39"/>
      <c r="E121" s="72"/>
      <c r="G121" s="40"/>
    </row>
    <row r="122" spans="1:7" ht="15.75" customHeight="1" x14ac:dyDescent="0.2">
      <c r="A122" s="32"/>
      <c r="C122" s="32"/>
      <c r="D122" s="39"/>
      <c r="E122" s="72"/>
      <c r="G122" s="40"/>
    </row>
    <row r="123" spans="1:7" ht="15.75" customHeight="1" x14ac:dyDescent="0.2">
      <c r="A123" s="32"/>
      <c r="C123" s="32"/>
      <c r="D123" s="39"/>
      <c r="E123" s="72"/>
      <c r="G123" s="40"/>
    </row>
    <row r="124" spans="1:7" ht="15.75" customHeight="1" x14ac:dyDescent="0.2">
      <c r="A124" s="32"/>
      <c r="C124" s="32"/>
      <c r="D124" s="39"/>
      <c r="E124" s="72"/>
      <c r="G124" s="40"/>
    </row>
    <row r="125" spans="1:7" ht="15.75" customHeight="1" x14ac:dyDescent="0.2">
      <c r="A125" s="32"/>
      <c r="C125" s="32"/>
      <c r="D125" s="39"/>
      <c r="E125" s="72"/>
      <c r="G125" s="40"/>
    </row>
    <row r="126" spans="1:7" ht="15.75" customHeight="1" x14ac:dyDescent="0.2">
      <c r="A126" s="32"/>
      <c r="C126" s="32"/>
      <c r="D126" s="39"/>
      <c r="E126" s="72"/>
      <c r="G126" s="40"/>
    </row>
    <row r="127" spans="1:7" ht="15.75" customHeight="1" x14ac:dyDescent="0.2">
      <c r="A127" s="32"/>
      <c r="C127" s="32"/>
      <c r="D127" s="39"/>
      <c r="E127" s="72"/>
      <c r="G127" s="40"/>
    </row>
    <row r="128" spans="1:7" ht="15.75" customHeight="1" x14ac:dyDescent="0.2">
      <c r="A128" s="32"/>
      <c r="C128" s="32"/>
      <c r="D128" s="39"/>
      <c r="E128" s="72"/>
      <c r="G128" s="40"/>
    </row>
    <row r="129" spans="1:7" ht="15.75" customHeight="1" x14ac:dyDescent="0.2">
      <c r="A129" s="32"/>
      <c r="C129" s="32"/>
      <c r="D129" s="39"/>
      <c r="E129" s="72"/>
      <c r="G129" s="40"/>
    </row>
    <row r="130" spans="1:7" ht="15.75" customHeight="1" x14ac:dyDescent="0.2">
      <c r="A130" s="32"/>
      <c r="C130" s="32"/>
      <c r="D130" s="39"/>
      <c r="E130" s="72"/>
      <c r="G130" s="40"/>
    </row>
    <row r="131" spans="1:7" ht="15.75" customHeight="1" x14ac:dyDescent="0.2">
      <c r="A131" s="32"/>
      <c r="C131" s="32"/>
      <c r="D131" s="39"/>
      <c r="E131" s="72"/>
      <c r="G131" s="40"/>
    </row>
    <row r="132" spans="1:7" ht="15.75" customHeight="1" x14ac:dyDescent="0.2">
      <c r="A132" s="32"/>
      <c r="C132" s="32"/>
      <c r="D132" s="39"/>
      <c r="E132" s="72"/>
      <c r="G132" s="40"/>
    </row>
    <row r="133" spans="1:7" ht="15.75" customHeight="1" x14ac:dyDescent="0.2">
      <c r="A133" s="32"/>
      <c r="C133" s="32"/>
      <c r="D133" s="39"/>
      <c r="E133" s="72"/>
      <c r="G133" s="40"/>
    </row>
    <row r="134" spans="1:7" ht="15.75" customHeight="1" x14ac:dyDescent="0.2">
      <c r="A134" s="32"/>
      <c r="C134" s="32"/>
      <c r="D134" s="39"/>
      <c r="E134" s="72"/>
      <c r="G134" s="40"/>
    </row>
    <row r="135" spans="1:7" ht="15.75" customHeight="1" x14ac:dyDescent="0.2">
      <c r="A135" s="32"/>
      <c r="C135" s="32"/>
      <c r="D135" s="39"/>
      <c r="E135" s="72"/>
      <c r="G135" s="40"/>
    </row>
    <row r="136" spans="1:7" ht="15.75" customHeight="1" x14ac:dyDescent="0.2">
      <c r="A136" s="32"/>
      <c r="C136" s="32"/>
      <c r="D136" s="39"/>
      <c r="E136" s="72"/>
      <c r="G136" s="40"/>
    </row>
    <row r="137" spans="1:7" ht="15.75" customHeight="1" x14ac:dyDescent="0.2">
      <c r="A137" s="32"/>
      <c r="C137" s="32"/>
      <c r="D137" s="39"/>
      <c r="E137" s="72"/>
      <c r="G137" s="40"/>
    </row>
    <row r="138" spans="1:7" x14ac:dyDescent="0.2">
      <c r="A138" s="32"/>
      <c r="C138" s="32"/>
      <c r="D138" s="39"/>
      <c r="E138" s="72"/>
      <c r="G138" s="40"/>
    </row>
    <row r="139" spans="1:7" ht="15" customHeight="1" x14ac:dyDescent="0.2">
      <c r="C139" s="32"/>
      <c r="D139" s="41"/>
      <c r="E139" s="72"/>
      <c r="G139" s="32"/>
    </row>
  </sheetData>
  <mergeCells count="3">
    <mergeCell ref="D1:E1"/>
    <mergeCell ref="A2:F2"/>
    <mergeCell ref="D90:F90"/>
  </mergeCells>
  <pageMargins left="0.82677165354330717" right="0.70866141732283472" top="0.74803149606299213" bottom="0.74803149606299213"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Agathe Colin</dc:creator>
  <cp:lastModifiedBy>Arthur Henry</cp:lastModifiedBy>
  <dcterms:created xsi:type="dcterms:W3CDTF">2025-10-22T13:36:56Z</dcterms:created>
  <dcterms:modified xsi:type="dcterms:W3CDTF">2026-01-30T17:12:19Z</dcterms:modified>
</cp:coreProperties>
</file>