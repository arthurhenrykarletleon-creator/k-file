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rthur/Desktop/BDCC/"/>
    </mc:Choice>
  </mc:AlternateContent>
  <xr:revisionPtr revIDLastSave="0" documentId="13_ncr:1_{46103A3A-930B-B341-A6FC-650B74015F7F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Bon de commande" sheetId="1" r:id="rId1"/>
  </sheets>
  <definedNames>
    <definedName name="_xlnm.Print_Titles" localSheetId="0">'Bon de commande'!$5:$5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" l="1"/>
  <c r="T49" i="1"/>
  <c r="I49" i="1"/>
  <c r="R49" i="1" s="1"/>
  <c r="G49" i="1"/>
  <c r="T47" i="1"/>
  <c r="I47" i="1"/>
  <c r="R47" i="1" s="1"/>
  <c r="G47" i="1"/>
  <c r="T46" i="1"/>
  <c r="R46" i="1"/>
  <c r="L46" i="1"/>
  <c r="K46" i="1"/>
  <c r="I46" i="1"/>
  <c r="J46" i="1" s="1"/>
  <c r="G46" i="1"/>
  <c r="T45" i="1"/>
  <c r="R45" i="1"/>
  <c r="K45" i="1"/>
  <c r="L45" i="1" s="1"/>
  <c r="J45" i="1"/>
  <c r="I45" i="1"/>
  <c r="G45" i="1"/>
  <c r="T44" i="1"/>
  <c r="I44" i="1"/>
  <c r="J44" i="1" s="1"/>
  <c r="G44" i="1"/>
  <c r="T43" i="1"/>
  <c r="R43" i="1"/>
  <c r="I43" i="1"/>
  <c r="K43" i="1" s="1"/>
  <c r="L43" i="1" s="1"/>
  <c r="G43" i="1"/>
  <c r="T42" i="1"/>
  <c r="R42" i="1"/>
  <c r="K42" i="1"/>
  <c r="L42" i="1" s="1"/>
  <c r="J42" i="1"/>
  <c r="I42" i="1"/>
  <c r="G42" i="1"/>
  <c r="T41" i="1"/>
  <c r="I41" i="1"/>
  <c r="R41" i="1" s="1"/>
  <c r="G41" i="1"/>
  <c r="T40" i="1"/>
  <c r="I40" i="1"/>
  <c r="R40" i="1" s="1"/>
  <c r="G40" i="1"/>
  <c r="T39" i="1"/>
  <c r="R39" i="1"/>
  <c r="L39" i="1"/>
  <c r="K39" i="1"/>
  <c r="J39" i="1"/>
  <c r="I39" i="1"/>
  <c r="G39" i="1"/>
  <c r="T38" i="1"/>
  <c r="I38" i="1"/>
  <c r="R38" i="1" s="1"/>
  <c r="G38" i="1"/>
  <c r="T37" i="1"/>
  <c r="I37" i="1"/>
  <c r="R37" i="1" s="1"/>
  <c r="G37" i="1"/>
  <c r="T36" i="1"/>
  <c r="R36" i="1"/>
  <c r="L36" i="1"/>
  <c r="K36" i="1"/>
  <c r="J36" i="1"/>
  <c r="I36" i="1"/>
  <c r="G36" i="1"/>
  <c r="T35" i="1"/>
  <c r="R35" i="1"/>
  <c r="K35" i="1"/>
  <c r="L35" i="1" s="1"/>
  <c r="J35" i="1"/>
  <c r="I35" i="1"/>
  <c r="G35" i="1"/>
  <c r="T34" i="1"/>
  <c r="I34" i="1"/>
  <c r="J34" i="1" s="1"/>
  <c r="G34" i="1"/>
  <c r="T33" i="1"/>
  <c r="R33" i="1"/>
  <c r="I33" i="1"/>
  <c r="K33" i="1" s="1"/>
  <c r="L33" i="1" s="1"/>
  <c r="G33" i="1"/>
  <c r="T31" i="1"/>
  <c r="R31" i="1"/>
  <c r="K31" i="1"/>
  <c r="L31" i="1" s="1"/>
  <c r="J31" i="1"/>
  <c r="I31" i="1"/>
  <c r="G31" i="1"/>
  <c r="T30" i="1"/>
  <c r="I30" i="1"/>
  <c r="R30" i="1" s="1"/>
  <c r="G30" i="1"/>
  <c r="T29" i="1"/>
  <c r="I29" i="1"/>
  <c r="R29" i="1" s="1"/>
  <c r="G29" i="1"/>
  <c r="T28" i="1"/>
  <c r="R28" i="1"/>
  <c r="L28" i="1"/>
  <c r="K28" i="1"/>
  <c r="J28" i="1"/>
  <c r="I28" i="1"/>
  <c r="G28" i="1"/>
  <c r="T27" i="1"/>
  <c r="I27" i="1"/>
  <c r="J27" i="1" s="1"/>
  <c r="G27" i="1"/>
  <c r="T26" i="1"/>
  <c r="I26" i="1"/>
  <c r="R26" i="1" s="1"/>
  <c r="G26" i="1"/>
  <c r="T25" i="1"/>
  <c r="R25" i="1"/>
  <c r="L25" i="1"/>
  <c r="K25" i="1"/>
  <c r="J25" i="1"/>
  <c r="I25" i="1"/>
  <c r="G25" i="1"/>
  <c r="T24" i="1"/>
  <c r="R24" i="1"/>
  <c r="K24" i="1"/>
  <c r="L24" i="1" s="1"/>
  <c r="J24" i="1"/>
  <c r="I24" i="1"/>
  <c r="G24" i="1"/>
  <c r="T23" i="1"/>
  <c r="I23" i="1"/>
  <c r="K23" i="1" s="1"/>
  <c r="L23" i="1" s="1"/>
  <c r="G23" i="1"/>
  <c r="T22" i="1"/>
  <c r="R22" i="1"/>
  <c r="I22" i="1"/>
  <c r="K22" i="1" s="1"/>
  <c r="L22" i="1" s="1"/>
  <c r="G22" i="1"/>
  <c r="T21" i="1"/>
  <c r="R21" i="1"/>
  <c r="K21" i="1"/>
  <c r="L21" i="1" s="1"/>
  <c r="J21" i="1"/>
  <c r="I21" i="1"/>
  <c r="G21" i="1"/>
  <c r="T20" i="1"/>
  <c r="I20" i="1"/>
  <c r="R20" i="1" s="1"/>
  <c r="G20" i="1"/>
  <c r="T19" i="1"/>
  <c r="I19" i="1"/>
  <c r="R19" i="1" s="1"/>
  <c r="G19" i="1"/>
  <c r="T18" i="1"/>
  <c r="R18" i="1"/>
  <c r="L18" i="1"/>
  <c r="K18" i="1"/>
  <c r="J18" i="1"/>
  <c r="I18" i="1"/>
  <c r="G18" i="1"/>
  <c r="T17" i="1"/>
  <c r="I17" i="1"/>
  <c r="J17" i="1" s="1"/>
  <c r="G17" i="1"/>
  <c r="T15" i="1"/>
  <c r="I15" i="1"/>
  <c r="R15" i="1" s="1"/>
  <c r="G15" i="1"/>
  <c r="T13" i="1"/>
  <c r="R13" i="1"/>
  <c r="L13" i="1"/>
  <c r="K13" i="1"/>
  <c r="J13" i="1"/>
  <c r="G13" i="1"/>
  <c r="T12" i="1"/>
  <c r="R12" i="1"/>
  <c r="K12" i="1"/>
  <c r="L12" i="1" s="1"/>
  <c r="J12" i="1"/>
  <c r="G12" i="1"/>
  <c r="T11" i="1"/>
  <c r="R11" i="1"/>
  <c r="K11" i="1"/>
  <c r="L11" i="1" s="1"/>
  <c r="J11" i="1"/>
  <c r="G11" i="1"/>
  <c r="T10" i="1"/>
  <c r="R10" i="1"/>
  <c r="K10" i="1"/>
  <c r="L10" i="1" s="1"/>
  <c r="J10" i="1"/>
  <c r="G10" i="1"/>
  <c r="T9" i="1"/>
  <c r="R9" i="1"/>
  <c r="K9" i="1"/>
  <c r="L9" i="1" s="1"/>
  <c r="J9" i="1"/>
  <c r="G9" i="1"/>
  <c r="T8" i="1"/>
  <c r="R8" i="1"/>
  <c r="L8" i="1"/>
  <c r="K8" i="1"/>
  <c r="J8" i="1"/>
  <c r="G8" i="1"/>
  <c r="T7" i="1"/>
  <c r="R7" i="1"/>
  <c r="K7" i="1"/>
  <c r="L7" i="1" s="1"/>
  <c r="J7" i="1"/>
  <c r="G7" i="1"/>
  <c r="T50" i="1" l="1"/>
  <c r="J38" i="1"/>
  <c r="J49" i="1"/>
  <c r="K17" i="1"/>
  <c r="L17" i="1" s="1"/>
  <c r="J20" i="1"/>
  <c r="K27" i="1"/>
  <c r="L27" i="1" s="1"/>
  <c r="K38" i="1"/>
  <c r="L38" i="1" s="1"/>
  <c r="J41" i="1"/>
  <c r="K41" i="1"/>
  <c r="L41" i="1" s="1"/>
  <c r="J26" i="1"/>
  <c r="J37" i="1"/>
  <c r="K44" i="1"/>
  <c r="L44" i="1" s="1"/>
  <c r="J30" i="1"/>
  <c r="K30" i="1"/>
  <c r="L30" i="1" s="1"/>
  <c r="R17" i="1"/>
  <c r="R27" i="1"/>
  <c r="K34" i="1"/>
  <c r="L34" i="1" s="1"/>
  <c r="J19" i="1"/>
  <c r="K47" i="1"/>
  <c r="L47" i="1" s="1"/>
  <c r="K19" i="1"/>
  <c r="L19" i="1" s="1"/>
  <c r="J22" i="1"/>
  <c r="R23" i="1"/>
  <c r="K29" i="1"/>
  <c r="L29" i="1" s="1"/>
  <c r="J33" i="1"/>
  <c r="R34" i="1"/>
  <c r="K40" i="1"/>
  <c r="L40" i="1" s="1"/>
  <c r="J43" i="1"/>
  <c r="R44" i="1"/>
  <c r="K49" i="1"/>
  <c r="L49" i="1" s="1"/>
  <c r="J23" i="1"/>
  <c r="J15" i="1"/>
  <c r="J47" i="1"/>
  <c r="K15" i="1"/>
  <c r="L15" i="1" s="1"/>
  <c r="K26" i="1"/>
  <c r="L26" i="1" s="1"/>
  <c r="K37" i="1"/>
  <c r="L37" i="1" s="1"/>
  <c r="K20" i="1"/>
  <c r="L20" i="1" s="1"/>
  <c r="J29" i="1"/>
  <c r="J40" i="1"/>
  <c r="R50" i="1" l="1"/>
</calcChain>
</file>

<file path=xl/sharedStrings.xml><?xml version="1.0" encoding="utf-8"?>
<sst xmlns="http://schemas.openxmlformats.org/spreadsheetml/2006/main" count="241" uniqueCount="174">
  <si>
    <t>Bon de Commande ANTI GASPI - PROXI FIDÉLITÉ Mai 2026</t>
  </si>
  <si>
    <t xml:space="preserve"> Saisissez vos quantités en colis dans la colonne « Colis Commandés » — stock plafonné automatiquement</t>
  </si>
  <si>
    <t>Référence</t>
  </si>
  <si>
    <t>Désignation</t>
  </si>
  <si>
    <t>Cond.</t>
  </si>
  <si>
    <t>Unité</t>
  </si>
  <si>
    <t>EAN UC</t>
  </si>
  <si>
    <t>Prix Remise en € Colis</t>
  </si>
  <si>
    <t>Prix Remise en € UC</t>
  </si>
  <si>
    <t>Remise</t>
  </si>
  <si>
    <t>Prix Anti Gaspi Remise en €  Colis</t>
  </si>
  <si>
    <t>Prix Anti Gaspi Remise en €  UC</t>
  </si>
  <si>
    <t>Prix Départ Anti Gaspi Colis</t>
  </si>
  <si>
    <t>Prix Départ Anti Gaspi UC</t>
  </si>
  <si>
    <t>Points/colis si remise en cadeaux</t>
  </si>
  <si>
    <t>Colis / Pal.</t>
  </si>
  <si>
    <t>Stock Dispo. (colis)</t>
  </si>
  <si>
    <t>Colis Commandés</t>
  </si>
  <si>
    <t>Total HT</t>
  </si>
  <si>
    <t>PROMO PRIX CASSÉ</t>
  </si>
  <si>
    <t>Red Bull Pomme Fuji &amp; Gingembre
DLC 08/26 minimum</t>
  </si>
  <si>
    <t>25cl</t>
  </si>
  <si>
    <t>9002490278281</t>
  </si>
  <si>
    <t>42 palettes</t>
  </si>
  <si>
    <t>RB25WIN</t>
  </si>
  <si>
    <t>Red Bull KYOHO raisin Import Japon          DLC 31/05/26</t>
  </si>
  <si>
    <t>4 palettes</t>
  </si>
  <si>
    <t>RB25KYOHO</t>
  </si>
  <si>
    <t>Red Bull MUSCAT Import Japon DLC 31/07/26</t>
  </si>
  <si>
    <t>8 palettes</t>
  </si>
  <si>
    <t>RB25MUSCAT</t>
  </si>
  <si>
    <t>Pop's PECHE PET 1L                                          DLC 07/26 minimum</t>
  </si>
  <si>
    <t>1L</t>
  </si>
  <si>
    <t>3701650200259</t>
  </si>
  <si>
    <t>2+1 offert</t>
  </si>
  <si>
    <t>6 palettes</t>
  </si>
  <si>
    <t>POPSPECHE1L</t>
  </si>
  <si>
    <t>Pop's FRUIT DU DRAGON PET 1L               DLC 07/26 minimum</t>
  </si>
  <si>
    <t>3701650200280</t>
  </si>
  <si>
    <t>7 palettes</t>
  </si>
  <si>
    <t>POPSFRUITDRAG1L</t>
  </si>
  <si>
    <t>Pop's GRENADE PET 1L                                   DLC 07/26 minimum</t>
  </si>
  <si>
    <t>3701650200242</t>
  </si>
  <si>
    <t>POPSGRENADE1L</t>
  </si>
  <si>
    <t xml:space="preserve">NELLA DELICE — pâte à tartiner crème noisette
DLC 06/26 </t>
  </si>
  <si>
    <t>700g</t>
  </si>
  <si>
    <t>3760317581179</t>
  </si>
  <si>
    <t>NELLA</t>
  </si>
  <si>
    <t>REMISE −60 %</t>
  </si>
  <si>
    <t>Fanta Apple — Import Egypte
DLC 07/26</t>
  </si>
  <si>
    <t>30cl</t>
  </si>
  <si>
    <t>5449000340825</t>
  </si>
  <si>
    <t>YFAPPL3324</t>
  </si>
  <si>
    <t>REMISE −50 %</t>
  </si>
  <si>
    <t>Buldak Ramen Poulet Braisé (lot 50 %)
DLC 06/26</t>
  </si>
  <si>
    <t>145g</t>
  </si>
  <si>
    <t>8801073141858</t>
  </si>
  <si>
    <t>3 palettes</t>
  </si>
  <si>
    <t>RAMENPOUBRAI</t>
  </si>
  <si>
    <t>Buldak Ramen Poulet Extra Piquant
DLC 06/26</t>
  </si>
  <si>
    <t>140g</t>
  </si>
  <si>
    <t>8801073141896</t>
  </si>
  <si>
    <t>5 palettes</t>
  </si>
  <si>
    <t>RAMENPOUEXTRA</t>
  </si>
  <si>
    <t xml:space="preserve">Vittel Eau Fruitée Fraise Framboise
DLC 07/26 </t>
  </si>
  <si>
    <t>50cl</t>
  </si>
  <si>
    <t>8445291599635</t>
  </si>
  <si>
    <t>VITTELFRAISE</t>
  </si>
  <si>
    <t>Vittel Eau Fruitée Pêche Abricot
DLC 07/26</t>
  </si>
  <si>
    <t>8445291617414</t>
  </si>
  <si>
    <t>VITTELPECH</t>
  </si>
  <si>
    <t>Lipton Kombucha Fraise &amp; Menthe    Import UK
DLC 06/26</t>
  </si>
  <si>
    <t>4062139019076</t>
  </si>
  <si>
    <t>YKOMBUFRAI</t>
  </si>
  <si>
    <t xml:space="preserve">Dr. Pepper Vanilla Float                       Import USA
DLC 06/26 </t>
  </si>
  <si>
    <t>35,5cl</t>
  </si>
  <si>
    <t>0078000023435</t>
  </si>
  <si>
    <t>YDRPEP33VANIL</t>
  </si>
  <si>
    <t xml:space="preserve">Dr. Pepper Strawberries &amp; Cream      Import USA
DLC 06/26 </t>
  </si>
  <si>
    <t>0078000037692</t>
  </si>
  <si>
    <t>1 palette</t>
  </si>
  <si>
    <t>YDRPEP33STRAW</t>
  </si>
  <si>
    <t>Pepsi Strawberry &amp; Cream Zéro        Import UK
DLC 06/26</t>
  </si>
  <si>
    <t>33cl</t>
  </si>
  <si>
    <t>4062139018321</t>
  </si>
  <si>
    <t>2 palettes</t>
  </si>
  <si>
    <t>YPSC3324</t>
  </si>
  <si>
    <t xml:space="preserve">Pepsi Cream Soda Zéro                     Import UK
DLC 06/26 </t>
  </si>
  <si>
    <t>4062139018352</t>
  </si>
  <si>
    <t>YPCS3324</t>
  </si>
  <si>
    <t xml:space="preserve">Fanta Citron canette
DLC 06/26 </t>
  </si>
  <si>
    <t>5449000214829</t>
  </si>
  <si>
    <t>YFC3324</t>
  </si>
  <si>
    <t>Pepsi Regular canette
DLC 06/26</t>
  </si>
  <si>
    <t>3168930159711</t>
  </si>
  <si>
    <t>YPR3324</t>
  </si>
  <si>
    <t>CRISTALINE Tropical (4 packs 6 x 50cl) DLC 06/26</t>
  </si>
  <si>
    <t>3254382048892</t>
  </si>
  <si>
    <t>CRISTTROP50</t>
  </si>
  <si>
    <t>San Pellegrino Aranciata Rossa(4 packs 6x33cl) canette                                    DLC 06/26</t>
  </si>
  <si>
    <t>33 cl</t>
  </si>
  <si>
    <t>8002270506796</t>
  </si>
  <si>
    <t>YSPARAN33</t>
  </si>
  <si>
    <t xml:space="preserve">Pago Ananas verre
DLC 06/26 </t>
  </si>
  <si>
    <t>20cl</t>
  </si>
  <si>
    <t>(à éditer)</t>
  </si>
  <si>
    <t>PAGANANAS20</t>
  </si>
  <si>
    <t xml:space="preserve">Tropico Tropical PET 
DLC 06/26 </t>
  </si>
  <si>
    <t>1,25l</t>
  </si>
  <si>
    <t>5449000321169</t>
  </si>
  <si>
    <t>—</t>
  </si>
  <si>
    <t>0 colis</t>
  </si>
  <si>
    <t>TROPTROP1256</t>
  </si>
  <si>
    <t>REMISE −40 %</t>
  </si>
  <si>
    <t>Heineken pack
DLC 06/26</t>
  </si>
  <si>
    <t>3119780268276</t>
  </si>
  <si>
    <t>12 palettes</t>
  </si>
  <si>
    <t>20H25</t>
  </si>
  <si>
    <t xml:space="preserve">Desperados pack VERRE (DLC 06/26)
DLC 06/26 </t>
  </si>
  <si>
    <t xml:space="preserve">33cl </t>
  </si>
  <si>
    <t>3119780268382</t>
  </si>
  <si>
    <t>DES12</t>
  </si>
  <si>
    <t xml:space="preserve">Leffe Blonde RITUEL 9° VERRE
DLC 06/26 </t>
  </si>
  <si>
    <t>6 x 25cl</t>
  </si>
  <si>
    <t>5410228191551</t>
  </si>
  <si>
    <t>LEFFERITUEL</t>
  </si>
  <si>
    <t xml:space="preserve">Minute Maid POMME can
DLC 06/26 </t>
  </si>
  <si>
    <t>5449000257796</t>
  </si>
  <si>
    <t>52 colis</t>
  </si>
  <si>
    <t>YMMP</t>
  </si>
  <si>
    <t xml:space="preserve">Minute Maid ORANGE can
DLC 06/26 </t>
  </si>
  <si>
    <t>5449000257789</t>
  </si>
  <si>
    <t>13 colis</t>
  </si>
  <si>
    <t>YMMO</t>
  </si>
  <si>
    <t>Minute Maid MULTIFRUITS can
DLC 06/26</t>
  </si>
  <si>
    <t>5449000295989</t>
  </si>
  <si>
    <t>7 colis</t>
  </si>
  <si>
    <t>YMMM</t>
  </si>
  <si>
    <t xml:space="preserve">PANDA TEA Citron
DLC 06/26 </t>
  </si>
  <si>
    <t>3760293234014</t>
  </si>
  <si>
    <t>18 colis</t>
  </si>
  <si>
    <t>YPANDACITRON</t>
  </si>
  <si>
    <t xml:space="preserve">PANDA TEA Pêche
DLC 06/26 </t>
  </si>
  <si>
    <t>3760293233970</t>
  </si>
  <si>
    <t>10 colis</t>
  </si>
  <si>
    <t>YPANDAPECH</t>
  </si>
  <si>
    <t xml:space="preserve">Topokki ÉPICÉ
DLC 06/26 </t>
  </si>
  <si>
    <t>8809054401526</t>
  </si>
  <si>
    <t>11 colis</t>
  </si>
  <si>
    <t>TOPOEPICE</t>
  </si>
  <si>
    <t xml:space="preserve">DORITOS PAPRIKA
DLC 06/26 </t>
  </si>
  <si>
    <t>160g</t>
  </si>
  <si>
    <t>3168930173250</t>
  </si>
  <si>
    <t>32 colis</t>
  </si>
  <si>
    <t>DORPAP</t>
  </si>
  <si>
    <t xml:space="preserve">Lay's Vinaigre de Cidre Sel paysanne
DLC 06/26 </t>
  </si>
  <si>
    <t>120g</t>
  </si>
  <si>
    <t>3168930176329</t>
  </si>
  <si>
    <t>16 colis</t>
  </si>
  <si>
    <t>LAYSVINAI120</t>
  </si>
  <si>
    <t>Lay's Fromage Jura paysanne
DLC 06/26</t>
  </si>
  <si>
    <t>3168930167891</t>
  </si>
  <si>
    <t>LAYSFROJURA120</t>
  </si>
  <si>
    <t>Bière CORNET Blonde 7,9°
DLC 06/26</t>
  </si>
  <si>
    <t>5410783010595</t>
  </si>
  <si>
    <t>36 colis</t>
  </si>
  <si>
    <t>CORNETB50</t>
  </si>
  <si>
    <t xml:space="preserve">ELEPHANT Bretzel Twist Oignons Caramélisés
DLC 06/26 </t>
  </si>
  <si>
    <t>5949040203505</t>
  </si>
  <si>
    <t>ELEPHANTOIGNON</t>
  </si>
  <si>
    <t>REMISE −25 %</t>
  </si>
  <si>
    <t xml:space="preserve">Desperados pack VERRE (DLC 08/26)
DLC 08/26 </t>
  </si>
  <si>
    <t>20 palettes</t>
  </si>
  <si>
    <t>Karl &amp; Léon · 17 rue des Garennes 57155 Marly · 03 87 600 900 · contact@karletleon.com
Franco 1 500 € HT Grand Est · 2 000 € HT reste France métropolitaine. Stock affiché plafonné automatiquement.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</si>
</sst>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\-0%"/>
    <numFmt numFmtId="166" formatCode="#,##0.00\ \€"/>
    <numFmt numFmtId="167" formatCode="0&quot; colis&quot;"/>
    <numFmt numFmtId="168" formatCode="0&quot; pts&quot;"/>
  </numFmts>
  <fonts count="34" x14ac:knownFonts="1">
    <font>
      <sz val="11"/>
      <color theme="1"/>
      <name val="Calibri"/>
      <family val="2"/>
      <scheme val="minor"/>
    </font>
    <font>
      <i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sz val="7"/>
      <color theme="1"/>
      <name val="Calibri"/>
      <family val="2"/>
      <scheme val="minor"/>
    </font>
    <font>
      <sz val="7"/>
      <color rgb="FF000000"/>
      <name val="Calibri"/>
      <family val="2"/>
    </font>
    <font>
      <sz val="7"/>
      <name val="Arial"/>
      <family val="2"/>
    </font>
    <font>
      <strike/>
      <sz val="7"/>
      <color rgb="FF000000"/>
      <name val="Arial"/>
      <family val="2"/>
    </font>
    <font>
      <sz val="7"/>
      <color theme="1"/>
      <name val="Arial"/>
      <family val="2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Calibri"/>
      <family val="2"/>
    </font>
    <font>
      <sz val="6"/>
      <color theme="1"/>
      <name val="Arial"/>
      <family val="2"/>
    </font>
    <font>
      <strike/>
      <sz val="7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i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b/>
      <strike/>
      <sz val="9"/>
      <color rgb="FF000000"/>
      <name val="Calibri"/>
      <family val="2"/>
    </font>
    <font>
      <b/>
      <sz val="15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00000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AF1DD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F0DA"/>
        <bgColor indexed="64"/>
      </patternFill>
    </fill>
    <fill>
      <patternFill patternType="solid">
        <fgColor rgb="FFD9E4BC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18"/>
  </cellStyleXfs>
  <cellXfs count="142">
    <xf numFmtId="0" fontId="0" fillId="0" borderId="0" xfId="0" applyBorder="1"/>
    <xf numFmtId="0" fontId="0" fillId="0" borderId="0" xfId="0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1" fillId="0" borderId="0" xfId="0" applyFont="1" applyBorder="1"/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2" fontId="18" fillId="2" borderId="3" xfId="0" applyNumberFormat="1" applyFont="1" applyFill="1" applyBorder="1" applyAlignment="1">
      <alignment horizontal="center" vertical="center" wrapText="1"/>
    </xf>
    <xf numFmtId="164" fontId="19" fillId="5" borderId="2" xfId="0" applyNumberFormat="1" applyFont="1" applyFill="1" applyBorder="1" applyAlignment="1">
      <alignment horizontal="center" vertical="center"/>
    </xf>
    <xf numFmtId="164" fontId="15" fillId="6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/>
    </xf>
    <xf numFmtId="49" fontId="7" fillId="5" borderId="8" xfId="0" applyNumberFormat="1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center" vertical="center"/>
    </xf>
    <xf numFmtId="164" fontId="15" fillId="5" borderId="8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left" vertical="center" indent="1"/>
    </xf>
    <xf numFmtId="0" fontId="17" fillId="9" borderId="7" xfId="0" applyFont="1" applyFill="1" applyBorder="1" applyAlignment="1">
      <alignment horizontal="left"/>
    </xf>
    <xf numFmtId="0" fontId="16" fillId="9" borderId="15" xfId="0" applyFont="1" applyFill="1" applyBorder="1" applyAlignment="1">
      <alignment horizontal="left" vertical="center" indent="1"/>
    </xf>
    <xf numFmtId="0" fontId="15" fillId="9" borderId="16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top" wrapText="1"/>
    </xf>
    <xf numFmtId="0" fontId="17" fillId="9" borderId="16" xfId="0" applyFont="1" applyFill="1" applyBorder="1" applyAlignment="1">
      <alignment horizontal="left"/>
    </xf>
    <xf numFmtId="0" fontId="19" fillId="10" borderId="2" xfId="0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2" fontId="11" fillId="9" borderId="16" xfId="0" applyNumberFormat="1" applyFont="1" applyFill="1" applyBorder="1" applyAlignment="1">
      <alignment horizontal="center"/>
    </xf>
    <xf numFmtId="2" fontId="0" fillId="9" borderId="16" xfId="0" applyNumberFormat="1" applyFill="1" applyBorder="1" applyAlignment="1">
      <alignment horizontal="center"/>
    </xf>
    <xf numFmtId="2" fontId="11" fillId="0" borderId="0" xfId="0" applyNumberFormat="1" applyFont="1" applyBorder="1" applyAlignment="1">
      <alignment horizontal="center"/>
    </xf>
    <xf numFmtId="2" fontId="8" fillId="2" borderId="3" xfId="0" applyNumberFormat="1" applyFont="1" applyFill="1" applyBorder="1" applyAlignment="1">
      <alignment horizontal="center" vertical="center" wrapText="1"/>
    </xf>
    <xf numFmtId="2" fontId="23" fillId="0" borderId="0" xfId="0" applyNumberFormat="1" applyFont="1" applyBorder="1" applyAlignment="1">
      <alignment horizontal="center"/>
    </xf>
    <xf numFmtId="2" fontId="23" fillId="9" borderId="16" xfId="0" applyNumberFormat="1" applyFont="1" applyFill="1" applyBorder="1" applyAlignment="1">
      <alignment horizontal="center"/>
    </xf>
    <xf numFmtId="2" fontId="8" fillId="8" borderId="4" xfId="0" applyNumberFormat="1" applyFont="1" applyFill="1" applyBorder="1" applyAlignment="1">
      <alignment horizontal="center" vertical="center"/>
    </xf>
    <xf numFmtId="2" fontId="8" fillId="8" borderId="5" xfId="0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/>
    </xf>
    <xf numFmtId="2" fontId="20" fillId="7" borderId="2" xfId="0" applyNumberFormat="1" applyFont="1" applyFill="1" applyBorder="1" applyAlignment="1">
      <alignment horizontal="center" vertical="center"/>
    </xf>
    <xf numFmtId="2" fontId="20" fillId="7" borderId="8" xfId="0" applyNumberFormat="1" applyFont="1" applyFill="1" applyBorder="1" applyAlignment="1">
      <alignment horizontal="center" vertical="center"/>
    </xf>
    <xf numFmtId="2" fontId="20" fillId="7" borderId="4" xfId="0" applyNumberFormat="1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2" fontId="12" fillId="7" borderId="11" xfId="0" applyNumberFormat="1" applyFont="1" applyFill="1" applyBorder="1" applyAlignment="1">
      <alignment horizontal="center" vertical="center"/>
    </xf>
    <xf numFmtId="2" fontId="20" fillId="7" borderId="1" xfId="0" applyNumberFormat="1" applyFont="1" applyFill="1" applyBorder="1" applyAlignment="1">
      <alignment horizontal="center" vertical="center"/>
    </xf>
    <xf numFmtId="2" fontId="12" fillId="7" borderId="12" xfId="0" applyNumberFormat="1" applyFont="1" applyFill="1" applyBorder="1" applyAlignment="1">
      <alignment horizontal="center" vertical="center"/>
    </xf>
    <xf numFmtId="2" fontId="20" fillId="7" borderId="3" xfId="0" applyNumberFormat="1" applyFont="1" applyFill="1" applyBorder="1" applyAlignment="1">
      <alignment horizontal="center" vertical="center"/>
    </xf>
    <xf numFmtId="2" fontId="12" fillId="7" borderId="13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2" fontId="12" fillId="7" borderId="8" xfId="0" applyNumberFormat="1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/>
    </xf>
    <xf numFmtId="2" fontId="21" fillId="9" borderId="16" xfId="0" applyNumberFormat="1" applyFont="1" applyFill="1" applyBorder="1" applyAlignment="1">
      <alignment horizontal="center"/>
    </xf>
    <xf numFmtId="2" fontId="14" fillId="7" borderId="5" xfId="0" applyNumberFormat="1" applyFont="1" applyFill="1" applyBorder="1" applyAlignment="1">
      <alignment horizontal="center" vertical="center"/>
    </xf>
    <xf numFmtId="2" fontId="12" fillId="7" borderId="5" xfId="0" applyNumberFormat="1" applyFont="1" applyFill="1" applyBorder="1" applyAlignment="1">
      <alignment horizontal="center" vertical="center"/>
    </xf>
    <xf numFmtId="2" fontId="14" fillId="7" borderId="4" xfId="0" applyNumberFormat="1" applyFont="1" applyFill="1" applyBorder="1" applyAlignment="1">
      <alignment horizontal="center" vertical="center"/>
    </xf>
    <xf numFmtId="2" fontId="12" fillId="7" borderId="4" xfId="0" applyNumberFormat="1" applyFont="1" applyFill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2" fontId="14" fillId="7" borderId="3" xfId="0" applyNumberFormat="1" applyFont="1" applyFill="1" applyBorder="1" applyAlignment="1">
      <alignment horizontal="center" vertical="center"/>
    </xf>
    <xf numFmtId="2" fontId="12" fillId="7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/>
    </xf>
    <xf numFmtId="0" fontId="23" fillId="9" borderId="16" xfId="0" applyFont="1" applyFill="1" applyBorder="1" applyAlignment="1">
      <alignment horizontal="center"/>
    </xf>
    <xf numFmtId="2" fontId="24" fillId="7" borderId="9" xfId="0" applyNumberFormat="1" applyFont="1" applyFill="1" applyBorder="1" applyAlignment="1">
      <alignment horizontal="center" vertical="center"/>
    </xf>
    <xf numFmtId="2" fontId="24" fillId="7" borderId="10" xfId="0" applyNumberFormat="1" applyFont="1" applyFill="1" applyBorder="1" applyAlignment="1">
      <alignment horizontal="center" vertical="center"/>
    </xf>
    <xf numFmtId="2" fontId="24" fillId="7" borderId="2" xfId="0" applyNumberFormat="1" applyFont="1" applyFill="1" applyBorder="1" applyAlignment="1">
      <alignment horizontal="center" vertical="center"/>
    </xf>
    <xf numFmtId="2" fontId="24" fillId="7" borderId="8" xfId="0" applyNumberFormat="1" applyFont="1" applyFill="1" applyBorder="1" applyAlignment="1">
      <alignment horizontal="center" vertical="center"/>
    </xf>
    <xf numFmtId="2" fontId="24" fillId="9" borderId="16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 vertical="center"/>
    </xf>
    <xf numFmtId="2" fontId="24" fillId="7" borderId="4" xfId="0" applyNumberFormat="1" applyFont="1" applyFill="1" applyBorder="1" applyAlignment="1">
      <alignment horizontal="center" vertical="center"/>
    </xf>
    <xf numFmtId="165" fontId="9" fillId="8" borderId="14" xfId="0" applyNumberFormat="1" applyFont="1" applyFill="1" applyBorder="1" applyAlignment="1">
      <alignment horizontal="center" vertical="center" wrapText="1"/>
    </xf>
    <xf numFmtId="165" fontId="9" fillId="8" borderId="2" xfId="0" applyNumberFormat="1" applyFont="1" applyFill="1" applyBorder="1" applyAlignment="1">
      <alignment horizontal="center" vertical="center" wrapText="1"/>
    </xf>
    <xf numFmtId="165" fontId="9" fillId="8" borderId="8" xfId="0" applyNumberFormat="1" applyFont="1" applyFill="1" applyBorder="1" applyAlignment="1">
      <alignment horizontal="center" vertical="center" wrapText="1"/>
    </xf>
    <xf numFmtId="165" fontId="9" fillId="8" borderId="5" xfId="0" applyNumberFormat="1" applyFont="1" applyFill="1" applyBorder="1" applyAlignment="1">
      <alignment horizontal="center" vertical="center" wrapText="1"/>
    </xf>
    <xf numFmtId="165" fontId="9" fillId="8" borderId="4" xfId="0" applyNumberFormat="1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center" vertical="center" wrapText="1"/>
    </xf>
    <xf numFmtId="165" fontId="9" fillId="8" borderId="3" xfId="0" applyNumberFormat="1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2" fontId="21" fillId="9" borderId="7" xfId="0" applyNumberFormat="1" applyFont="1" applyFill="1" applyBorder="1" applyAlignment="1">
      <alignment horizontal="center"/>
    </xf>
    <xf numFmtId="2" fontId="24" fillId="9" borderId="7" xfId="0" applyNumberFormat="1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2" fontId="23" fillId="9" borderId="7" xfId="0" applyNumberFormat="1" applyFont="1" applyFill="1" applyBorder="1" applyAlignment="1">
      <alignment horizontal="center"/>
    </xf>
    <xf numFmtId="0" fontId="16" fillId="9" borderId="7" xfId="0" applyFont="1" applyFill="1" applyBorder="1" applyAlignment="1">
      <alignment horizontal="center" vertical="center"/>
    </xf>
    <xf numFmtId="164" fontId="15" fillId="5" borderId="2" xfId="0" applyNumberFormat="1" applyFont="1" applyFill="1" applyBorder="1" applyAlignment="1">
      <alignment horizontal="center" vertical="center" wrapText="1"/>
    </xf>
    <xf numFmtId="1" fontId="8" fillId="8" borderId="4" xfId="0" applyNumberFormat="1" applyFont="1" applyFill="1" applyBorder="1" applyAlignment="1">
      <alignment horizontal="center" vertical="center"/>
    </xf>
    <xf numFmtId="1" fontId="8" fillId="8" borderId="5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/>
    </xf>
    <xf numFmtId="1" fontId="8" fillId="8" borderId="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/>
    </xf>
    <xf numFmtId="2" fontId="27" fillId="7" borderId="4" xfId="0" applyNumberFormat="1" applyFont="1" applyFill="1" applyBorder="1" applyAlignment="1">
      <alignment horizontal="center" vertical="center"/>
    </xf>
    <xf numFmtId="2" fontId="27" fillId="7" borderId="9" xfId="0" applyNumberFormat="1" applyFont="1" applyFill="1" applyBorder="1" applyAlignment="1">
      <alignment horizontal="center" vertical="center"/>
    </xf>
    <xf numFmtId="2" fontId="23" fillId="7" borderId="0" xfId="0" applyNumberFormat="1" applyFont="1" applyFill="1" applyBorder="1" applyAlignment="1">
      <alignment horizontal="center"/>
    </xf>
    <xf numFmtId="2" fontId="23" fillId="9" borderId="17" xfId="0" applyNumberFormat="1" applyFont="1" applyFill="1" applyBorder="1" applyAlignment="1">
      <alignment horizontal="center"/>
    </xf>
    <xf numFmtId="0" fontId="28" fillId="11" borderId="2" xfId="0" applyFont="1" applyFill="1" applyBorder="1" applyAlignment="1">
      <alignment horizontal="center" wrapText="1"/>
    </xf>
    <xf numFmtId="166" fontId="29" fillId="3" borderId="4" xfId="0" applyNumberFormat="1" applyFont="1" applyFill="1" applyBorder="1" applyAlignment="1">
      <alignment horizontal="center" vertical="center"/>
    </xf>
    <xf numFmtId="166" fontId="29" fillId="3" borderId="5" xfId="0" applyNumberFormat="1" applyFont="1" applyFill="1" applyBorder="1" applyAlignment="1">
      <alignment horizontal="center" vertical="center"/>
    </xf>
    <xf numFmtId="166" fontId="29" fillId="3" borderId="1" xfId="0" applyNumberFormat="1" applyFont="1" applyFill="1" applyBorder="1" applyAlignment="1">
      <alignment horizontal="center" vertical="center"/>
    </xf>
    <xf numFmtId="166" fontId="29" fillId="3" borderId="3" xfId="0" applyNumberFormat="1" applyFont="1" applyFill="1" applyBorder="1" applyAlignment="1">
      <alignment horizontal="center" vertical="center"/>
    </xf>
    <xf numFmtId="0" fontId="26" fillId="9" borderId="16" xfId="0" applyFont="1" applyFill="1" applyBorder="1" applyAlignment="1">
      <alignment horizontal="center"/>
    </xf>
    <xf numFmtId="0" fontId="26" fillId="9" borderId="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0" fillId="9" borderId="7" xfId="0" applyNumberFormat="1" applyFill="1" applyBorder="1" applyAlignment="1">
      <alignment horizontal="center" vertical="center"/>
    </xf>
    <xf numFmtId="1" fontId="30" fillId="4" borderId="4" xfId="0" applyNumberFormat="1" applyFont="1" applyFill="1" applyBorder="1" applyAlignment="1">
      <alignment horizontal="center" vertical="center"/>
    </xf>
    <xf numFmtId="1" fontId="30" fillId="4" borderId="5" xfId="0" applyNumberFormat="1" applyFont="1" applyFill="1" applyBorder="1" applyAlignment="1">
      <alignment horizontal="center" vertical="center"/>
    </xf>
    <xf numFmtId="1" fontId="30" fillId="4" borderId="1" xfId="0" applyNumberFormat="1" applyFont="1" applyFill="1" applyBorder="1" applyAlignment="1">
      <alignment horizontal="center" vertical="center"/>
    </xf>
    <xf numFmtId="1" fontId="30" fillId="4" borderId="3" xfId="0" applyNumberFormat="1" applyFont="1" applyFill="1" applyBorder="1" applyAlignment="1">
      <alignment horizontal="center" vertical="center"/>
    </xf>
    <xf numFmtId="0" fontId="31" fillId="0" borderId="18" xfId="0" applyFont="1"/>
    <xf numFmtId="2" fontId="31" fillId="0" borderId="18" xfId="0" applyNumberFormat="1" applyFont="1"/>
    <xf numFmtId="0" fontId="0" fillId="12" borderId="0" xfId="0" applyFill="1" applyBorder="1" applyAlignment="1">
      <alignment horizontal="center"/>
    </xf>
    <xf numFmtId="0" fontId="26" fillId="12" borderId="16" xfId="0" applyFont="1" applyFill="1" applyBorder="1" applyAlignment="1">
      <alignment horizontal="center"/>
    </xf>
    <xf numFmtId="1" fontId="30" fillId="13" borderId="5" xfId="0" applyNumberFormat="1" applyFont="1" applyFill="1" applyBorder="1" applyAlignment="1">
      <alignment horizontal="center" vertical="center"/>
    </xf>
    <xf numFmtId="1" fontId="30" fillId="13" borderId="4" xfId="0" applyNumberFormat="1" applyFont="1" applyFill="1" applyBorder="1" applyAlignment="1">
      <alignment horizontal="center" vertical="center"/>
    </xf>
    <xf numFmtId="0" fontId="31" fillId="0" borderId="19" xfId="0" applyFont="1" applyBorder="1"/>
    <xf numFmtId="166" fontId="33" fillId="0" borderId="20" xfId="0" applyNumberFormat="1" applyFont="1" applyBorder="1" applyAlignment="1">
      <alignment horizontal="center" vertical="center"/>
    </xf>
    <xf numFmtId="0" fontId="32" fillId="0" borderId="21" xfId="0" applyFont="1" applyBorder="1" applyAlignment="1">
      <alignment horizontal="right" vertical="center"/>
    </xf>
    <xf numFmtId="167" fontId="32" fillId="0" borderId="2" xfId="0" applyNumberFormat="1" applyFont="1" applyBorder="1" applyAlignment="1">
      <alignment horizontal="center" vertical="center"/>
    </xf>
    <xf numFmtId="168" fontId="32" fillId="0" borderId="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5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3" fillId="0" borderId="0" xfId="0" applyNumberFormat="1" applyFont="1" applyBorder="1" applyAlignment="1">
      <alignment horizontal="center"/>
    </xf>
    <xf numFmtId="0" fontId="22" fillId="0" borderId="18" xfId="0" applyFont="1" applyAlignment="1">
      <alignment horizontal="center" vertical="center" wrapText="1"/>
    </xf>
    <xf numFmtId="0" fontId="1" fillId="0" borderId="18" xfId="0" applyFont="1" applyAlignment="1">
      <alignment horizontal="center" vertical="center"/>
    </xf>
  </cellXfs>
  <cellStyles count="1">
    <cellStyle name="Normal" xfId="0" builtinId="0"/>
  </cellStyles>
  <dxfs count="96"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  <dxf>
      <font>
        <b/>
        <sz val="9"/>
        <color rgb="FF000000"/>
        <name val="Arial"/>
      </font>
      <fill>
        <patternFill patternType="solid">
          <fgColor rgb="FFFBE5D6"/>
        </patternFill>
      </fill>
    </dxf>
    <dxf>
      <font>
        <b/>
        <sz val="9"/>
        <color rgb="FF000000"/>
        <name val="Arial"/>
      </font>
      <fill>
        <patternFill patternType="solid">
          <fgColor rgb="FFEAF1DD"/>
        </patternFill>
      </fill>
    </dxf>
    <dxf>
      <font>
        <b/>
        <sz val="9"/>
        <color rgb="FF000000"/>
        <name val="Arial"/>
      </font>
      <fill>
        <patternFill patternType="solid">
          <fgColor rgb="FFEBF1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showGridLines="0" tabSelected="1" topLeftCell="B1" workbookViewId="0">
      <pane ySplit="5" topLeftCell="A42" activePane="bottomLeft" state="frozen"/>
      <selection pane="bottomLeft" activeCell="Q46" sqref="Q46"/>
    </sheetView>
  </sheetViews>
  <sheetFormatPr baseColWidth="10" defaultColWidth="9.1640625" defaultRowHeight="15" x14ac:dyDescent="0.2"/>
  <cols>
    <col min="1" max="1" width="15.1640625" customWidth="1"/>
    <col min="2" max="2" width="29.5" style="7" customWidth="1"/>
    <col min="3" max="3" width="6.83203125" style="5" customWidth="1"/>
    <col min="4" max="4" width="6" style="5" customWidth="1"/>
    <col min="5" max="5" width="14" style="5" customWidth="1"/>
    <col min="6" max="6" width="10" style="5" customWidth="1"/>
    <col min="7" max="7" width="10.83203125" style="74" customWidth="1"/>
    <col min="8" max="8" width="7" style="5" customWidth="1"/>
    <col min="9" max="9" width="11" style="38" customWidth="1"/>
    <col min="10" max="13" width="10" style="43" customWidth="1"/>
    <col min="14" max="14" width="8" style="5" customWidth="1"/>
    <col min="15" max="15" width="13" style="5" customWidth="1"/>
    <col min="16" max="16" width="14.5" style="5" customWidth="1"/>
    <col min="17" max="17" width="26.83203125" style="5" customWidth="1"/>
    <col min="18" max="18" width="18" style="5" customWidth="1"/>
    <col min="19" max="19" width="13" hidden="1" customWidth="1"/>
    <col min="20" max="20" width="11" style="5" customWidth="1"/>
  </cols>
  <sheetData>
    <row r="1" spans="1:20" ht="9.75" customHeight="1" x14ac:dyDescent="0.2"/>
    <row r="2" spans="1:20" ht="30" customHeight="1" x14ac:dyDescent="0.2">
      <c r="A2" s="134" t="s">
        <v>0</v>
      </c>
      <c r="B2" s="135"/>
      <c r="C2" s="136"/>
      <c r="D2" s="136"/>
      <c r="E2" s="136"/>
      <c r="F2" s="136"/>
      <c r="G2" s="137"/>
      <c r="H2" s="136"/>
      <c r="I2" s="138"/>
      <c r="J2" s="139"/>
      <c r="K2" s="139"/>
      <c r="L2" s="139"/>
      <c r="M2" s="139"/>
      <c r="N2" s="136"/>
      <c r="O2" s="136"/>
      <c r="P2" s="136"/>
      <c r="Q2" s="136"/>
      <c r="R2" s="136"/>
    </row>
    <row r="3" spans="1:20" ht="9.75" customHeight="1" x14ac:dyDescent="0.2"/>
    <row r="4" spans="1:20" ht="16" customHeight="1" x14ac:dyDescent="0.2">
      <c r="A4" s="141" t="s">
        <v>1</v>
      </c>
      <c r="B4" s="135"/>
      <c r="C4" s="136"/>
      <c r="D4" s="136"/>
      <c r="E4" s="136"/>
      <c r="F4" s="136"/>
      <c r="G4" s="137"/>
      <c r="H4" s="136"/>
      <c r="I4" s="138"/>
      <c r="J4" s="139"/>
      <c r="K4" s="139"/>
      <c r="L4" s="139"/>
      <c r="M4" s="139"/>
      <c r="N4" s="136"/>
      <c r="O4" s="136"/>
      <c r="P4" s="136"/>
      <c r="Q4" s="136"/>
      <c r="R4" s="136"/>
    </row>
    <row r="5" spans="1:20" ht="39" customHeight="1" thickBot="1" x14ac:dyDescent="0.25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8" t="s">
        <v>7</v>
      </c>
      <c r="G5" s="73" t="s">
        <v>8</v>
      </c>
      <c r="H5" s="8" t="s">
        <v>9</v>
      </c>
      <c r="I5" s="22" t="s">
        <v>10</v>
      </c>
      <c r="J5" s="22" t="s">
        <v>11</v>
      </c>
      <c r="K5" s="42" t="s">
        <v>12</v>
      </c>
      <c r="L5" s="42" t="s">
        <v>13</v>
      </c>
      <c r="M5" s="42" t="s">
        <v>14</v>
      </c>
      <c r="N5" s="8" t="s">
        <v>15</v>
      </c>
      <c r="O5" s="8" t="s">
        <v>16</v>
      </c>
      <c r="P5" s="8" t="s">
        <v>2</v>
      </c>
      <c r="Q5" s="11" t="s">
        <v>17</v>
      </c>
      <c r="R5" s="12" t="s">
        <v>18</v>
      </c>
      <c r="T5" s="110" t="s">
        <v>14</v>
      </c>
    </row>
    <row r="6" spans="1:20" ht="18" customHeight="1" thickBot="1" x14ac:dyDescent="0.25">
      <c r="A6" s="32" t="s">
        <v>19</v>
      </c>
      <c r="B6" s="33"/>
      <c r="C6" s="51"/>
      <c r="D6" s="51"/>
      <c r="E6" s="51"/>
      <c r="F6" s="51"/>
      <c r="G6" s="75"/>
      <c r="H6" s="51"/>
      <c r="I6" s="39"/>
      <c r="J6" s="44"/>
      <c r="K6" s="44"/>
      <c r="L6" s="44"/>
      <c r="M6" s="44"/>
      <c r="N6" s="51"/>
      <c r="O6" s="51"/>
      <c r="P6" s="55" t="s">
        <v>19</v>
      </c>
      <c r="Q6" s="51"/>
      <c r="R6" s="96"/>
      <c r="S6" s="44"/>
      <c r="T6" s="109"/>
    </row>
    <row r="7" spans="1:20" ht="30" customHeight="1" x14ac:dyDescent="0.2">
      <c r="A7" s="13"/>
      <c r="B7" s="16" t="s">
        <v>20</v>
      </c>
      <c r="C7" s="13" t="s">
        <v>21</v>
      </c>
      <c r="D7" s="13">
        <v>24</v>
      </c>
      <c r="E7" s="13" t="s">
        <v>22</v>
      </c>
      <c r="F7" s="54">
        <v>31.2</v>
      </c>
      <c r="G7" s="76">
        <f t="shared" ref="G7:G13" si="0">F7/D7</f>
        <v>1.3</v>
      </c>
      <c r="H7" s="83">
        <v>0.23</v>
      </c>
      <c r="I7" s="56">
        <v>24</v>
      </c>
      <c r="J7" s="45">
        <f t="shared" ref="J7:J13" si="1">I7/D7</f>
        <v>1</v>
      </c>
      <c r="K7" s="106">
        <f t="shared" ref="K7:K13" si="2">M7+I7</f>
        <v>25</v>
      </c>
      <c r="L7" s="106">
        <f t="shared" ref="L7:L13" si="3">K7/D7</f>
        <v>1.0416666666666667</v>
      </c>
      <c r="M7" s="99">
        <v>1</v>
      </c>
      <c r="N7" s="13">
        <v>96</v>
      </c>
      <c r="O7" s="13" t="s">
        <v>23</v>
      </c>
      <c r="P7" s="13" t="s">
        <v>24</v>
      </c>
      <c r="Q7" s="119"/>
      <c r="R7" s="111">
        <f t="shared" ref="R7:R13" si="4">Q7*I7</f>
        <v>0</v>
      </c>
      <c r="S7">
        <v>5.5E-2</v>
      </c>
      <c r="T7" s="117">
        <f t="shared" ref="T7:T13" si="5">Q7*M7</f>
        <v>0</v>
      </c>
    </row>
    <row r="8" spans="1:20" ht="30" customHeight="1" x14ac:dyDescent="0.2">
      <c r="A8" s="2"/>
      <c r="B8" s="17" t="s">
        <v>25</v>
      </c>
      <c r="C8" s="2" t="s">
        <v>21</v>
      </c>
      <c r="D8" s="2">
        <v>24</v>
      </c>
      <c r="E8" s="24">
        <v>4560292291372</v>
      </c>
      <c r="F8" s="57">
        <v>52.56</v>
      </c>
      <c r="G8" s="76">
        <f t="shared" si="0"/>
        <v>2.19</v>
      </c>
      <c r="H8" s="84">
        <v>0.39</v>
      </c>
      <c r="I8" s="58">
        <v>24</v>
      </c>
      <c r="J8" s="45">
        <f t="shared" si="1"/>
        <v>1</v>
      </c>
      <c r="K8" s="106">
        <f t="shared" si="2"/>
        <v>25</v>
      </c>
      <c r="L8" s="106">
        <f t="shared" si="3"/>
        <v>1.0416666666666667</v>
      </c>
      <c r="M8" s="99">
        <v>1</v>
      </c>
      <c r="N8" s="2">
        <v>96</v>
      </c>
      <c r="O8" s="2" t="s">
        <v>26</v>
      </c>
      <c r="P8" s="37" t="s">
        <v>27</v>
      </c>
      <c r="Q8" s="119"/>
      <c r="R8" s="111">
        <f t="shared" si="4"/>
        <v>0</v>
      </c>
      <c r="T8" s="117">
        <f t="shared" si="5"/>
        <v>0</v>
      </c>
    </row>
    <row r="9" spans="1:20" ht="30" customHeight="1" x14ac:dyDescent="0.2">
      <c r="A9" s="2"/>
      <c r="B9" s="17" t="s">
        <v>28</v>
      </c>
      <c r="C9" s="2" t="s">
        <v>21</v>
      </c>
      <c r="D9" s="2">
        <v>24</v>
      </c>
      <c r="E9" s="24">
        <v>4560292292478</v>
      </c>
      <c r="F9" s="57">
        <v>54.96</v>
      </c>
      <c r="G9" s="76">
        <f t="shared" si="0"/>
        <v>2.29</v>
      </c>
      <c r="H9" s="84">
        <v>0.23</v>
      </c>
      <c r="I9" s="58">
        <v>31.2</v>
      </c>
      <c r="J9" s="45">
        <f t="shared" si="1"/>
        <v>1.3</v>
      </c>
      <c r="K9" s="106">
        <f t="shared" si="2"/>
        <v>32.200000000000003</v>
      </c>
      <c r="L9" s="106">
        <f t="shared" si="3"/>
        <v>1.3416666666666668</v>
      </c>
      <c r="M9" s="100">
        <v>1</v>
      </c>
      <c r="N9" s="2">
        <v>96</v>
      </c>
      <c r="O9" s="2" t="s">
        <v>29</v>
      </c>
      <c r="P9" s="37" t="s">
        <v>30</v>
      </c>
      <c r="Q9" s="119"/>
      <c r="R9" s="111">
        <f t="shared" si="4"/>
        <v>0</v>
      </c>
      <c r="T9" s="117">
        <f t="shared" si="5"/>
        <v>0</v>
      </c>
    </row>
    <row r="10" spans="1:20" ht="30" customHeight="1" x14ac:dyDescent="0.2">
      <c r="A10" s="14"/>
      <c r="B10" s="26" t="s">
        <v>31</v>
      </c>
      <c r="C10" s="27" t="s">
        <v>32</v>
      </c>
      <c r="D10" s="27">
        <v>6</v>
      </c>
      <c r="E10" s="28" t="s">
        <v>33</v>
      </c>
      <c r="F10" s="59">
        <v>11.7</v>
      </c>
      <c r="G10" s="77">
        <f t="shared" si="0"/>
        <v>1.95</v>
      </c>
      <c r="H10" s="84" t="s">
        <v>34</v>
      </c>
      <c r="I10" s="60">
        <v>7.8</v>
      </c>
      <c r="J10" s="46">
        <f t="shared" si="1"/>
        <v>1.3</v>
      </c>
      <c r="K10" s="107">
        <f t="shared" si="2"/>
        <v>8.8000000000000007</v>
      </c>
      <c r="L10" s="106">
        <f t="shared" si="3"/>
        <v>1.4666666666666668</v>
      </c>
      <c r="M10" s="105">
        <v>1</v>
      </c>
      <c r="N10" s="104">
        <v>114</v>
      </c>
      <c r="O10" s="14" t="s">
        <v>35</v>
      </c>
      <c r="P10" s="23" t="s">
        <v>36</v>
      </c>
      <c r="Q10" s="119"/>
      <c r="R10" s="111">
        <f t="shared" si="4"/>
        <v>0</v>
      </c>
      <c r="T10" s="117">
        <f t="shared" si="5"/>
        <v>0</v>
      </c>
    </row>
    <row r="11" spans="1:20" ht="30" customHeight="1" x14ac:dyDescent="0.2">
      <c r="A11" s="29"/>
      <c r="B11" s="18" t="s">
        <v>37</v>
      </c>
      <c r="C11" s="3" t="s">
        <v>32</v>
      </c>
      <c r="D11" s="3">
        <v>6</v>
      </c>
      <c r="E11" s="25" t="s">
        <v>38</v>
      </c>
      <c r="F11" s="52">
        <v>11.7</v>
      </c>
      <c r="G11" s="78">
        <f t="shared" si="0"/>
        <v>1.95</v>
      </c>
      <c r="H11" s="84" t="s">
        <v>34</v>
      </c>
      <c r="I11" s="61">
        <v>7.8</v>
      </c>
      <c r="J11" s="47">
        <f t="shared" si="1"/>
        <v>1.3</v>
      </c>
      <c r="K11" s="107">
        <f t="shared" si="2"/>
        <v>8.8000000000000007</v>
      </c>
      <c r="L11" s="106">
        <f t="shared" si="3"/>
        <v>1.4666666666666668</v>
      </c>
      <c r="M11" s="105">
        <v>1</v>
      </c>
      <c r="N11" s="104">
        <v>114</v>
      </c>
      <c r="O11" s="14" t="s">
        <v>39</v>
      </c>
      <c r="P11" s="23" t="s">
        <v>40</v>
      </c>
      <c r="Q11" s="119"/>
      <c r="R11" s="111">
        <f t="shared" si="4"/>
        <v>0</v>
      </c>
      <c r="T11" s="117">
        <f t="shared" si="5"/>
        <v>0</v>
      </c>
    </row>
    <row r="12" spans="1:20" ht="30" customHeight="1" thickBot="1" x14ac:dyDescent="0.25">
      <c r="A12" s="29"/>
      <c r="B12" s="18" t="s">
        <v>41</v>
      </c>
      <c r="C12" s="3" t="s">
        <v>32</v>
      </c>
      <c r="D12" s="3">
        <v>6</v>
      </c>
      <c r="E12" s="25" t="s">
        <v>42</v>
      </c>
      <c r="F12" s="52">
        <v>11.7</v>
      </c>
      <c r="G12" s="78">
        <f t="shared" si="0"/>
        <v>1.95</v>
      </c>
      <c r="H12" s="84" t="s">
        <v>34</v>
      </c>
      <c r="I12" s="61">
        <v>7.8</v>
      </c>
      <c r="J12" s="47">
        <f t="shared" si="1"/>
        <v>1.3</v>
      </c>
      <c r="K12" s="107">
        <f t="shared" si="2"/>
        <v>8.8000000000000007</v>
      </c>
      <c r="L12" s="106">
        <f t="shared" si="3"/>
        <v>1.4666666666666668</v>
      </c>
      <c r="M12" s="105">
        <v>1</v>
      </c>
      <c r="N12" s="104">
        <v>114</v>
      </c>
      <c r="O12" s="14" t="s">
        <v>35</v>
      </c>
      <c r="P12" s="23" t="s">
        <v>43</v>
      </c>
      <c r="Q12" s="119"/>
      <c r="R12" s="111">
        <f t="shared" si="4"/>
        <v>0</v>
      </c>
      <c r="T12" s="117">
        <f t="shared" si="5"/>
        <v>0</v>
      </c>
    </row>
    <row r="13" spans="1:20" ht="40.5" customHeight="1" thickBot="1" x14ac:dyDescent="0.25">
      <c r="A13" s="34"/>
      <c r="B13" s="35" t="s">
        <v>44</v>
      </c>
      <c r="C13" s="34" t="s">
        <v>45</v>
      </c>
      <c r="D13" s="34">
        <v>6</v>
      </c>
      <c r="E13" s="34" t="s">
        <v>46</v>
      </c>
      <c r="F13" s="53">
        <v>45</v>
      </c>
      <c r="G13" s="79">
        <f t="shared" si="0"/>
        <v>7.5</v>
      </c>
      <c r="H13" s="85">
        <v>0.53</v>
      </c>
      <c r="I13" s="62">
        <v>21.3</v>
      </c>
      <c r="J13" s="48">
        <f t="shared" si="1"/>
        <v>3.5500000000000003</v>
      </c>
      <c r="K13" s="106">
        <f t="shared" si="2"/>
        <v>23.3</v>
      </c>
      <c r="L13" s="106">
        <f t="shared" si="3"/>
        <v>3.8833333333333333</v>
      </c>
      <c r="M13" s="101">
        <v>2</v>
      </c>
      <c r="N13" s="34">
        <v>140</v>
      </c>
      <c r="O13" s="34" t="s">
        <v>29</v>
      </c>
      <c r="P13" s="34" t="s">
        <v>47</v>
      </c>
      <c r="Q13" s="126"/>
      <c r="R13" s="111">
        <f t="shared" si="4"/>
        <v>0</v>
      </c>
      <c r="T13" s="117">
        <f t="shared" si="5"/>
        <v>0</v>
      </c>
    </row>
    <row r="14" spans="1:20" ht="18" customHeight="1" thickBot="1" x14ac:dyDescent="0.25">
      <c r="A14" s="32" t="s">
        <v>48</v>
      </c>
      <c r="B14" s="36"/>
      <c r="C14" s="63"/>
      <c r="D14" s="63"/>
      <c r="E14" s="51"/>
      <c r="F14" s="64"/>
      <c r="G14" s="80"/>
      <c r="H14" s="44"/>
      <c r="I14" s="44"/>
      <c r="J14" s="44"/>
      <c r="K14" s="44"/>
      <c r="L14" s="44"/>
      <c r="M14" s="44"/>
      <c r="N14" s="63"/>
      <c r="O14" s="63"/>
      <c r="P14" s="55" t="s">
        <v>48</v>
      </c>
      <c r="Q14" s="127"/>
      <c r="R14" s="95"/>
      <c r="S14" s="40"/>
      <c r="T14" s="118"/>
    </row>
    <row r="15" spans="1:20" ht="30" customHeight="1" thickBot="1" x14ac:dyDescent="0.25">
      <c r="A15" s="15"/>
      <c r="B15" s="20" t="s">
        <v>49</v>
      </c>
      <c r="C15" s="15" t="s">
        <v>50</v>
      </c>
      <c r="D15" s="15">
        <v>24</v>
      </c>
      <c r="E15" s="15" t="s">
        <v>51</v>
      </c>
      <c r="F15" s="65">
        <v>25.2</v>
      </c>
      <c r="G15" s="81">
        <f>F15/D15</f>
        <v>1.05</v>
      </c>
      <c r="H15" s="86">
        <v>0.6</v>
      </c>
      <c r="I15" s="66">
        <f>F15*(1-0.6)</f>
        <v>10.08</v>
      </c>
      <c r="J15" s="46">
        <f>I15/D15</f>
        <v>0.42</v>
      </c>
      <c r="K15" s="106">
        <f>M15+I15</f>
        <v>11.08</v>
      </c>
      <c r="L15" s="106">
        <f>K15/D15</f>
        <v>0.46166666666666667</v>
      </c>
      <c r="M15" s="100">
        <v>1</v>
      </c>
      <c r="N15" s="15">
        <v>88</v>
      </c>
      <c r="O15" s="15" t="s">
        <v>26</v>
      </c>
      <c r="P15" s="15" t="s">
        <v>52</v>
      </c>
      <c r="Q15" s="126"/>
      <c r="R15" s="112">
        <f>Q15*I15</f>
        <v>0</v>
      </c>
      <c r="S15">
        <v>0.2</v>
      </c>
      <c r="T15" s="117">
        <f>Q15*M15</f>
        <v>0</v>
      </c>
    </row>
    <row r="16" spans="1:20" ht="18" customHeight="1" thickBot="1" x14ac:dyDescent="0.25">
      <c r="A16" s="32" t="s">
        <v>53</v>
      </c>
      <c r="B16" s="36"/>
      <c r="C16" s="63"/>
      <c r="D16" s="63"/>
      <c r="E16" s="51"/>
      <c r="F16" s="64"/>
      <c r="G16" s="80"/>
      <c r="H16" s="44"/>
      <c r="I16" s="44"/>
      <c r="J16" s="44"/>
      <c r="K16" s="44"/>
      <c r="L16" s="44"/>
      <c r="M16" s="44"/>
      <c r="N16" s="63"/>
      <c r="O16" s="63"/>
      <c r="P16" s="55" t="s">
        <v>53</v>
      </c>
      <c r="Q16" s="128"/>
      <c r="R16" s="95"/>
      <c r="S16" s="40"/>
      <c r="T16" s="118"/>
    </row>
    <row r="17" spans="1:20" ht="30" customHeight="1" x14ac:dyDescent="0.2">
      <c r="A17" s="13"/>
      <c r="B17" s="16" t="s">
        <v>54</v>
      </c>
      <c r="C17" s="13" t="s">
        <v>55</v>
      </c>
      <c r="D17" s="13">
        <v>8</v>
      </c>
      <c r="E17" s="13" t="s">
        <v>56</v>
      </c>
      <c r="F17" s="67">
        <v>58</v>
      </c>
      <c r="G17" s="82">
        <f t="shared" ref="G17:G31" si="6">F17/D17</f>
        <v>7.25</v>
      </c>
      <c r="H17" s="87">
        <v>0.5</v>
      </c>
      <c r="I17" s="68">
        <f t="shared" ref="I17:I31" si="7">F17*(1-0.5)</f>
        <v>29</v>
      </c>
      <c r="J17" s="45">
        <f t="shared" ref="J17:J31" si="8">I17/D17</f>
        <v>3.625</v>
      </c>
      <c r="K17" s="106">
        <f t="shared" ref="K17:K31" si="9">M17+I17</f>
        <v>30</v>
      </c>
      <c r="L17" s="106">
        <f t="shared" ref="L17:L31" si="10">K17/D17</f>
        <v>3.75</v>
      </c>
      <c r="M17" s="99">
        <v>1</v>
      </c>
      <c r="N17" s="13">
        <v>48</v>
      </c>
      <c r="O17" s="13" t="s">
        <v>57</v>
      </c>
      <c r="P17" s="13" t="s">
        <v>58</v>
      </c>
      <c r="Q17" s="121"/>
      <c r="R17" s="111">
        <f t="shared" ref="R17:R31" si="11">Q17*I17</f>
        <v>0</v>
      </c>
      <c r="S17">
        <v>0.2</v>
      </c>
      <c r="T17" s="117">
        <f t="shared" ref="T17:T31" si="12">Q17*M17</f>
        <v>0</v>
      </c>
    </row>
    <row r="18" spans="1:20" ht="30" customHeight="1" x14ac:dyDescent="0.2">
      <c r="A18" s="2"/>
      <c r="B18" s="21" t="s">
        <v>59</v>
      </c>
      <c r="C18" s="2" t="s">
        <v>60</v>
      </c>
      <c r="D18" s="2">
        <v>8</v>
      </c>
      <c r="E18" s="2" t="s">
        <v>61</v>
      </c>
      <c r="F18" s="69">
        <v>58</v>
      </c>
      <c r="G18" s="82">
        <f t="shared" si="6"/>
        <v>7.25</v>
      </c>
      <c r="H18" s="88">
        <v>0.5</v>
      </c>
      <c r="I18" s="70">
        <f t="shared" si="7"/>
        <v>29</v>
      </c>
      <c r="J18" s="49">
        <f t="shared" si="8"/>
        <v>3.625</v>
      </c>
      <c r="K18" s="106">
        <f t="shared" si="9"/>
        <v>30</v>
      </c>
      <c r="L18" s="106">
        <f t="shared" si="10"/>
        <v>3.75</v>
      </c>
      <c r="M18" s="102">
        <v>1</v>
      </c>
      <c r="N18" s="2">
        <v>48</v>
      </c>
      <c r="O18" s="2" t="s">
        <v>62</v>
      </c>
      <c r="P18" s="2" t="s">
        <v>63</v>
      </c>
      <c r="Q18" s="121"/>
      <c r="R18" s="113">
        <f t="shared" si="11"/>
        <v>0</v>
      </c>
      <c r="S18">
        <v>0.2</v>
      </c>
      <c r="T18" s="117">
        <f t="shared" si="12"/>
        <v>0</v>
      </c>
    </row>
    <row r="19" spans="1:20" ht="30" customHeight="1" x14ac:dyDescent="0.2">
      <c r="A19" s="2"/>
      <c r="B19" s="21" t="s">
        <v>64</v>
      </c>
      <c r="C19" s="2" t="s">
        <v>65</v>
      </c>
      <c r="D19" s="2">
        <v>24</v>
      </c>
      <c r="E19" s="2" t="s">
        <v>66</v>
      </c>
      <c r="F19" s="69">
        <v>16.8</v>
      </c>
      <c r="G19" s="82">
        <f t="shared" si="6"/>
        <v>0.70000000000000007</v>
      </c>
      <c r="H19" s="88">
        <v>0.5</v>
      </c>
      <c r="I19" s="70">
        <f t="shared" si="7"/>
        <v>8.4</v>
      </c>
      <c r="J19" s="49">
        <f t="shared" si="8"/>
        <v>0.35000000000000003</v>
      </c>
      <c r="K19" s="106">
        <f t="shared" si="9"/>
        <v>9.4</v>
      </c>
      <c r="L19" s="106">
        <f t="shared" si="10"/>
        <v>0.39166666666666666</v>
      </c>
      <c r="M19" s="102">
        <v>1</v>
      </c>
      <c r="N19" s="2">
        <v>48</v>
      </c>
      <c r="O19" s="2" t="s">
        <v>26</v>
      </c>
      <c r="P19" s="2" t="s">
        <v>67</v>
      </c>
      <c r="Q19" s="121"/>
      <c r="R19" s="113">
        <f t="shared" si="11"/>
        <v>0</v>
      </c>
      <c r="S19">
        <v>0.2</v>
      </c>
      <c r="T19" s="117">
        <f t="shared" si="12"/>
        <v>0</v>
      </c>
    </row>
    <row r="20" spans="1:20" ht="30" customHeight="1" x14ac:dyDescent="0.2">
      <c r="A20" s="2"/>
      <c r="B20" s="21" t="s">
        <v>68</v>
      </c>
      <c r="C20" s="2" t="s">
        <v>65</v>
      </c>
      <c r="D20" s="2">
        <v>24</v>
      </c>
      <c r="E20" s="2" t="s">
        <v>69</v>
      </c>
      <c r="F20" s="69">
        <v>16.8</v>
      </c>
      <c r="G20" s="82">
        <f t="shared" si="6"/>
        <v>0.70000000000000007</v>
      </c>
      <c r="H20" s="88">
        <v>0.5</v>
      </c>
      <c r="I20" s="70">
        <f t="shared" si="7"/>
        <v>8.4</v>
      </c>
      <c r="J20" s="49">
        <f t="shared" si="8"/>
        <v>0.35000000000000003</v>
      </c>
      <c r="K20" s="106">
        <f t="shared" si="9"/>
        <v>9.4</v>
      </c>
      <c r="L20" s="106">
        <f t="shared" si="10"/>
        <v>0.39166666666666666</v>
      </c>
      <c r="M20" s="102">
        <v>1</v>
      </c>
      <c r="N20" s="2">
        <v>48</v>
      </c>
      <c r="O20" s="2" t="s">
        <v>26</v>
      </c>
      <c r="P20" s="2" t="s">
        <v>70</v>
      </c>
      <c r="Q20" s="121"/>
      <c r="R20" s="113">
        <f t="shared" si="11"/>
        <v>0</v>
      </c>
      <c r="S20">
        <v>5.5E-2</v>
      </c>
      <c r="T20" s="117">
        <f t="shared" si="12"/>
        <v>0</v>
      </c>
    </row>
    <row r="21" spans="1:20" ht="36" customHeight="1" x14ac:dyDescent="0.2">
      <c r="A21" s="2"/>
      <c r="B21" s="21" t="s">
        <v>71</v>
      </c>
      <c r="C21" s="2" t="s">
        <v>21</v>
      </c>
      <c r="D21" s="2">
        <v>24</v>
      </c>
      <c r="E21" s="2" t="s">
        <v>72</v>
      </c>
      <c r="F21" s="69">
        <v>37.200000000000003</v>
      </c>
      <c r="G21" s="82">
        <f t="shared" si="6"/>
        <v>1.55</v>
      </c>
      <c r="H21" s="88">
        <v>0.5</v>
      </c>
      <c r="I21" s="70">
        <f t="shared" si="7"/>
        <v>18.600000000000001</v>
      </c>
      <c r="J21" s="49">
        <f t="shared" si="8"/>
        <v>0.77500000000000002</v>
      </c>
      <c r="K21" s="106">
        <f t="shared" si="9"/>
        <v>19.600000000000001</v>
      </c>
      <c r="L21" s="106">
        <f t="shared" si="10"/>
        <v>0.81666666666666676</v>
      </c>
      <c r="M21" s="102">
        <v>1</v>
      </c>
      <c r="N21" s="2">
        <v>80</v>
      </c>
      <c r="O21" s="2" t="s">
        <v>57</v>
      </c>
      <c r="P21" s="2" t="s">
        <v>73</v>
      </c>
      <c r="Q21" s="121"/>
      <c r="R21" s="113">
        <f t="shared" si="11"/>
        <v>0</v>
      </c>
      <c r="S21">
        <v>5.5E-2</v>
      </c>
      <c r="T21" s="117">
        <f t="shared" si="12"/>
        <v>0</v>
      </c>
    </row>
    <row r="22" spans="1:20" ht="40.5" customHeight="1" x14ac:dyDescent="0.2">
      <c r="A22" s="2"/>
      <c r="B22" s="21" t="s">
        <v>74</v>
      </c>
      <c r="C22" s="2" t="s">
        <v>75</v>
      </c>
      <c r="D22" s="2">
        <v>24</v>
      </c>
      <c r="E22" s="2" t="s">
        <v>76</v>
      </c>
      <c r="F22" s="69">
        <v>25.2</v>
      </c>
      <c r="G22" s="82">
        <f t="shared" si="6"/>
        <v>1.05</v>
      </c>
      <c r="H22" s="88">
        <v>0.5</v>
      </c>
      <c r="I22" s="70">
        <f t="shared" si="7"/>
        <v>12.6</v>
      </c>
      <c r="J22" s="49">
        <f t="shared" si="8"/>
        <v>0.52500000000000002</v>
      </c>
      <c r="K22" s="106">
        <f t="shared" si="9"/>
        <v>13.6</v>
      </c>
      <c r="L22" s="106">
        <f t="shared" si="10"/>
        <v>0.56666666666666665</v>
      </c>
      <c r="M22" s="102">
        <v>1</v>
      </c>
      <c r="N22" s="2">
        <v>88</v>
      </c>
      <c r="O22" s="2" t="s">
        <v>26</v>
      </c>
      <c r="P22" s="2" t="s">
        <v>77</v>
      </c>
      <c r="Q22" s="121"/>
      <c r="R22" s="113">
        <f t="shared" si="11"/>
        <v>0</v>
      </c>
      <c r="S22">
        <v>5.5E-2</v>
      </c>
      <c r="T22" s="117">
        <f t="shared" si="12"/>
        <v>0</v>
      </c>
    </row>
    <row r="23" spans="1:20" ht="39" customHeight="1" x14ac:dyDescent="0.2">
      <c r="A23" s="2"/>
      <c r="B23" s="21" t="s">
        <v>78</v>
      </c>
      <c r="C23" s="2" t="s">
        <v>75</v>
      </c>
      <c r="D23" s="2">
        <v>24</v>
      </c>
      <c r="E23" s="2" t="s">
        <v>79</v>
      </c>
      <c r="F23" s="69">
        <v>26.4</v>
      </c>
      <c r="G23" s="82">
        <f t="shared" si="6"/>
        <v>1.0999999999999999</v>
      </c>
      <c r="H23" s="88">
        <v>0.5</v>
      </c>
      <c r="I23" s="70">
        <f t="shared" si="7"/>
        <v>13.2</v>
      </c>
      <c r="J23" s="49">
        <f t="shared" si="8"/>
        <v>0.54999999999999993</v>
      </c>
      <c r="K23" s="106">
        <f t="shared" si="9"/>
        <v>14.2</v>
      </c>
      <c r="L23" s="106">
        <f t="shared" si="10"/>
        <v>0.59166666666666667</v>
      </c>
      <c r="M23" s="102">
        <v>1</v>
      </c>
      <c r="N23" s="2">
        <v>96</v>
      </c>
      <c r="O23" s="2" t="s">
        <v>80</v>
      </c>
      <c r="P23" s="2" t="s">
        <v>81</v>
      </c>
      <c r="Q23" s="121"/>
      <c r="R23" s="113">
        <f t="shared" si="11"/>
        <v>0</v>
      </c>
      <c r="S23">
        <v>5.5E-2</v>
      </c>
      <c r="T23" s="117">
        <f t="shared" si="12"/>
        <v>0</v>
      </c>
    </row>
    <row r="24" spans="1:20" ht="38.25" customHeight="1" x14ac:dyDescent="0.2">
      <c r="A24" s="2"/>
      <c r="B24" s="21" t="s">
        <v>82</v>
      </c>
      <c r="C24" s="2" t="s">
        <v>83</v>
      </c>
      <c r="D24" s="2">
        <v>24</v>
      </c>
      <c r="E24" s="2" t="s">
        <v>84</v>
      </c>
      <c r="F24" s="69">
        <v>22.8</v>
      </c>
      <c r="G24" s="82">
        <f t="shared" si="6"/>
        <v>0.95000000000000007</v>
      </c>
      <c r="H24" s="88">
        <v>0.5</v>
      </c>
      <c r="I24" s="70">
        <f t="shared" si="7"/>
        <v>11.4</v>
      </c>
      <c r="J24" s="49">
        <f t="shared" si="8"/>
        <v>0.47500000000000003</v>
      </c>
      <c r="K24" s="106">
        <f t="shared" si="9"/>
        <v>12.4</v>
      </c>
      <c r="L24" s="106">
        <f t="shared" si="10"/>
        <v>0.51666666666666672</v>
      </c>
      <c r="M24" s="102">
        <v>1</v>
      </c>
      <c r="N24" s="2">
        <v>120</v>
      </c>
      <c r="O24" s="2" t="s">
        <v>85</v>
      </c>
      <c r="P24" s="2" t="s">
        <v>86</v>
      </c>
      <c r="Q24" s="121"/>
      <c r="R24" s="113">
        <f t="shared" si="11"/>
        <v>0</v>
      </c>
      <c r="S24">
        <v>5.5E-2</v>
      </c>
      <c r="T24" s="117">
        <f t="shared" si="12"/>
        <v>0</v>
      </c>
    </row>
    <row r="25" spans="1:20" ht="37.5" customHeight="1" x14ac:dyDescent="0.2">
      <c r="A25" s="2"/>
      <c r="B25" s="21" t="s">
        <v>87</v>
      </c>
      <c r="C25" s="2" t="s">
        <v>83</v>
      </c>
      <c r="D25" s="2">
        <v>24</v>
      </c>
      <c r="E25" s="2" t="s">
        <v>88</v>
      </c>
      <c r="F25" s="69">
        <v>22.8</v>
      </c>
      <c r="G25" s="82">
        <f t="shared" si="6"/>
        <v>0.95000000000000007</v>
      </c>
      <c r="H25" s="88">
        <v>0.5</v>
      </c>
      <c r="I25" s="70">
        <f t="shared" si="7"/>
        <v>11.4</v>
      </c>
      <c r="J25" s="49">
        <f t="shared" si="8"/>
        <v>0.47500000000000003</v>
      </c>
      <c r="K25" s="106">
        <f t="shared" si="9"/>
        <v>12.4</v>
      </c>
      <c r="L25" s="106">
        <f t="shared" si="10"/>
        <v>0.51666666666666672</v>
      </c>
      <c r="M25" s="102">
        <v>1</v>
      </c>
      <c r="N25" s="2">
        <v>120</v>
      </c>
      <c r="O25" s="2" t="s">
        <v>80</v>
      </c>
      <c r="P25" s="2" t="s">
        <v>89</v>
      </c>
      <c r="Q25" s="121"/>
      <c r="R25" s="113">
        <f t="shared" si="11"/>
        <v>0</v>
      </c>
      <c r="S25">
        <v>5.5E-2</v>
      </c>
      <c r="T25" s="117">
        <f t="shared" si="12"/>
        <v>0</v>
      </c>
    </row>
    <row r="26" spans="1:20" ht="30" customHeight="1" x14ac:dyDescent="0.2">
      <c r="A26" s="2"/>
      <c r="B26" s="21" t="s">
        <v>90</v>
      </c>
      <c r="C26" s="2" t="s">
        <v>83</v>
      </c>
      <c r="D26" s="2">
        <v>24</v>
      </c>
      <c r="E26" s="2" t="s">
        <v>91</v>
      </c>
      <c r="F26" s="69">
        <v>16.32</v>
      </c>
      <c r="G26" s="82">
        <f t="shared" si="6"/>
        <v>0.68</v>
      </c>
      <c r="H26" s="88">
        <v>0.5</v>
      </c>
      <c r="I26" s="70">
        <f t="shared" si="7"/>
        <v>8.16</v>
      </c>
      <c r="J26" s="49">
        <f t="shared" si="8"/>
        <v>0.34</v>
      </c>
      <c r="K26" s="106">
        <f t="shared" si="9"/>
        <v>9.16</v>
      </c>
      <c r="L26" s="106">
        <f t="shared" si="10"/>
        <v>0.38166666666666665</v>
      </c>
      <c r="M26" s="102">
        <v>1</v>
      </c>
      <c r="N26" s="2">
        <v>130</v>
      </c>
      <c r="O26" s="2" t="s">
        <v>80</v>
      </c>
      <c r="P26" s="2" t="s">
        <v>92</v>
      </c>
      <c r="Q26" s="121"/>
      <c r="R26" s="113">
        <f t="shared" si="11"/>
        <v>0</v>
      </c>
      <c r="S26">
        <v>5.5E-2</v>
      </c>
      <c r="T26" s="117">
        <f t="shared" si="12"/>
        <v>0</v>
      </c>
    </row>
    <row r="27" spans="1:20" ht="30" customHeight="1" x14ac:dyDescent="0.2">
      <c r="A27" s="2"/>
      <c r="B27" s="21" t="s">
        <v>93</v>
      </c>
      <c r="C27" s="2" t="s">
        <v>83</v>
      </c>
      <c r="D27" s="2">
        <v>24</v>
      </c>
      <c r="E27" s="2" t="s">
        <v>94</v>
      </c>
      <c r="F27" s="69">
        <v>13.68</v>
      </c>
      <c r="G27" s="82">
        <f t="shared" si="6"/>
        <v>0.56999999999999995</v>
      </c>
      <c r="H27" s="88">
        <v>0.5</v>
      </c>
      <c r="I27" s="70">
        <f t="shared" si="7"/>
        <v>6.84</v>
      </c>
      <c r="J27" s="49">
        <f t="shared" si="8"/>
        <v>0.28499999999999998</v>
      </c>
      <c r="K27" s="106">
        <f t="shared" si="9"/>
        <v>7.84</v>
      </c>
      <c r="L27" s="106">
        <f t="shared" si="10"/>
        <v>0.32666666666666666</v>
      </c>
      <c r="M27" s="102">
        <v>1</v>
      </c>
      <c r="N27" s="2">
        <v>100</v>
      </c>
      <c r="O27" s="2" t="s">
        <v>80</v>
      </c>
      <c r="P27" s="2" t="s">
        <v>95</v>
      </c>
      <c r="Q27" s="121"/>
      <c r="R27" s="113">
        <f t="shared" si="11"/>
        <v>0</v>
      </c>
      <c r="S27">
        <v>5.5E-2</v>
      </c>
      <c r="T27" s="117">
        <f t="shared" si="12"/>
        <v>0</v>
      </c>
    </row>
    <row r="28" spans="1:20" ht="30" customHeight="1" x14ac:dyDescent="0.2">
      <c r="A28" s="2"/>
      <c r="B28" s="18" t="s">
        <v>96</v>
      </c>
      <c r="C28" s="2" t="s">
        <v>65</v>
      </c>
      <c r="D28" s="2">
        <v>24</v>
      </c>
      <c r="E28" s="2" t="s">
        <v>97</v>
      </c>
      <c r="F28" s="69">
        <v>15.6</v>
      </c>
      <c r="G28" s="82">
        <f t="shared" si="6"/>
        <v>0.65</v>
      </c>
      <c r="H28" s="88">
        <v>0.5</v>
      </c>
      <c r="I28" s="70">
        <f t="shared" si="7"/>
        <v>7.8</v>
      </c>
      <c r="J28" s="49">
        <f t="shared" si="8"/>
        <v>0.32500000000000001</v>
      </c>
      <c r="K28" s="106">
        <f t="shared" si="9"/>
        <v>8.8000000000000007</v>
      </c>
      <c r="L28" s="106">
        <f t="shared" si="10"/>
        <v>0.3666666666666667</v>
      </c>
      <c r="M28" s="102">
        <v>1</v>
      </c>
      <c r="N28" s="2">
        <v>54</v>
      </c>
      <c r="O28" s="2" t="s">
        <v>80</v>
      </c>
      <c r="P28" s="2" t="s">
        <v>98</v>
      </c>
      <c r="Q28" s="121"/>
      <c r="R28" s="113">
        <f t="shared" si="11"/>
        <v>0</v>
      </c>
      <c r="S28">
        <v>5.5E-2</v>
      </c>
      <c r="T28" s="117">
        <f t="shared" si="12"/>
        <v>0</v>
      </c>
    </row>
    <row r="29" spans="1:20" ht="40.5" customHeight="1" x14ac:dyDescent="0.2">
      <c r="A29" s="2"/>
      <c r="B29" s="21" t="s">
        <v>99</v>
      </c>
      <c r="C29" s="2" t="s">
        <v>100</v>
      </c>
      <c r="D29" s="2">
        <v>24</v>
      </c>
      <c r="E29" s="2" t="s">
        <v>101</v>
      </c>
      <c r="F29" s="69">
        <v>15.6</v>
      </c>
      <c r="G29" s="82">
        <f t="shared" si="6"/>
        <v>0.65</v>
      </c>
      <c r="H29" s="88">
        <v>0.5</v>
      </c>
      <c r="I29" s="70">
        <f t="shared" si="7"/>
        <v>7.8</v>
      </c>
      <c r="J29" s="49">
        <f t="shared" si="8"/>
        <v>0.32500000000000001</v>
      </c>
      <c r="K29" s="106">
        <f t="shared" si="9"/>
        <v>8.8000000000000007</v>
      </c>
      <c r="L29" s="106">
        <f t="shared" si="10"/>
        <v>0.3666666666666667</v>
      </c>
      <c r="M29" s="102">
        <v>1</v>
      </c>
      <c r="N29" s="2">
        <v>91</v>
      </c>
      <c r="O29" s="2" t="s">
        <v>85</v>
      </c>
      <c r="P29" s="2" t="s">
        <v>102</v>
      </c>
      <c r="Q29" s="121"/>
      <c r="R29" s="113">
        <f t="shared" si="11"/>
        <v>0</v>
      </c>
      <c r="S29">
        <v>0.2</v>
      </c>
      <c r="T29" s="117">
        <f t="shared" si="12"/>
        <v>0</v>
      </c>
    </row>
    <row r="30" spans="1:20" ht="30" customHeight="1" x14ac:dyDescent="0.2">
      <c r="A30" s="2"/>
      <c r="B30" s="21" t="s">
        <v>103</v>
      </c>
      <c r="C30" s="2" t="s">
        <v>104</v>
      </c>
      <c r="D30" s="2">
        <v>24</v>
      </c>
      <c r="E30" s="2" t="s">
        <v>105</v>
      </c>
      <c r="F30" s="69">
        <v>20.399999999999999</v>
      </c>
      <c r="G30" s="82">
        <f t="shared" si="6"/>
        <v>0.85</v>
      </c>
      <c r="H30" s="88">
        <v>0.5</v>
      </c>
      <c r="I30" s="70">
        <f t="shared" si="7"/>
        <v>10.199999999999999</v>
      </c>
      <c r="J30" s="49">
        <f t="shared" si="8"/>
        <v>0.42499999999999999</v>
      </c>
      <c r="K30" s="106">
        <f t="shared" si="9"/>
        <v>11.2</v>
      </c>
      <c r="L30" s="106">
        <f t="shared" si="10"/>
        <v>0.46666666666666662</v>
      </c>
      <c r="M30" s="102">
        <v>1</v>
      </c>
      <c r="N30" s="2">
        <v>64</v>
      </c>
      <c r="O30" s="2" t="s">
        <v>85</v>
      </c>
      <c r="P30" s="2" t="s">
        <v>106</v>
      </c>
      <c r="Q30" s="122"/>
      <c r="R30" s="113">
        <f t="shared" si="11"/>
        <v>0</v>
      </c>
      <c r="S30">
        <v>5.5E-2</v>
      </c>
      <c r="T30" s="117">
        <f t="shared" si="12"/>
        <v>0</v>
      </c>
    </row>
    <row r="31" spans="1:20" ht="30" customHeight="1" thickBot="1" x14ac:dyDescent="0.25">
      <c r="A31" s="14"/>
      <c r="B31" s="19" t="s">
        <v>107</v>
      </c>
      <c r="C31" s="14" t="s">
        <v>108</v>
      </c>
      <c r="D31" s="14">
        <v>6</v>
      </c>
      <c r="E31" s="14" t="s">
        <v>109</v>
      </c>
      <c r="F31" s="71">
        <v>11.1</v>
      </c>
      <c r="G31" s="81">
        <f t="shared" si="6"/>
        <v>1.8499999999999999</v>
      </c>
      <c r="H31" s="89">
        <v>0.5</v>
      </c>
      <c r="I31" s="72">
        <f t="shared" si="7"/>
        <v>5.55</v>
      </c>
      <c r="J31" s="50">
        <f t="shared" si="8"/>
        <v>0.92499999999999993</v>
      </c>
      <c r="K31" s="106">
        <f t="shared" si="9"/>
        <v>6.55</v>
      </c>
      <c r="L31" s="106">
        <f t="shared" si="10"/>
        <v>1.0916666666666666</v>
      </c>
      <c r="M31" s="103">
        <v>1</v>
      </c>
      <c r="N31" s="14" t="s">
        <v>110</v>
      </c>
      <c r="O31" s="14" t="s">
        <v>111</v>
      </c>
      <c r="P31" s="14" t="s">
        <v>112</v>
      </c>
      <c r="Q31" s="125"/>
      <c r="R31" s="114">
        <f t="shared" si="11"/>
        <v>0</v>
      </c>
      <c r="S31">
        <v>5.5E-2</v>
      </c>
      <c r="T31" s="117">
        <f t="shared" si="12"/>
        <v>0</v>
      </c>
    </row>
    <row r="32" spans="1:20" ht="18" customHeight="1" thickBot="1" x14ac:dyDescent="0.25">
      <c r="A32" s="32" t="s">
        <v>113</v>
      </c>
      <c r="B32" s="36"/>
      <c r="C32" s="63"/>
      <c r="D32" s="63"/>
      <c r="E32" s="51"/>
      <c r="F32" s="64"/>
      <c r="G32" s="80"/>
      <c r="H32" s="75"/>
      <c r="I32" s="40"/>
      <c r="J32" s="44"/>
      <c r="K32" s="44"/>
      <c r="L32" s="44"/>
      <c r="M32" s="44"/>
      <c r="N32" s="63"/>
      <c r="O32" s="63"/>
      <c r="P32" s="55" t="s">
        <v>113</v>
      </c>
      <c r="Q32" s="115"/>
      <c r="R32" s="95"/>
      <c r="S32" s="40"/>
      <c r="T32" s="118"/>
    </row>
    <row r="33" spans="1:24" ht="30" customHeight="1" x14ac:dyDescent="0.2">
      <c r="A33" s="13"/>
      <c r="B33" s="16" t="s">
        <v>114</v>
      </c>
      <c r="C33" s="13" t="s">
        <v>21</v>
      </c>
      <c r="D33" s="13">
        <v>20</v>
      </c>
      <c r="E33" s="13" t="s">
        <v>115</v>
      </c>
      <c r="F33" s="67">
        <v>10.95</v>
      </c>
      <c r="G33" s="82">
        <f t="shared" ref="G33:G47" si="13">F33/D33</f>
        <v>0.54749999999999999</v>
      </c>
      <c r="H33" s="87">
        <v>0.4</v>
      </c>
      <c r="I33" s="68">
        <f t="shared" ref="I33:I47" si="14">F33*(1-0.4)</f>
        <v>6.5699999999999994</v>
      </c>
      <c r="J33" s="45">
        <f t="shared" ref="J33:J47" si="15">I33/D33</f>
        <v>0.32849999999999996</v>
      </c>
      <c r="K33" s="106">
        <f t="shared" ref="K33:K47" si="16">M33+I33</f>
        <v>7.5699999999999994</v>
      </c>
      <c r="L33" s="106">
        <f t="shared" ref="L33:L47" si="17">K33/D33</f>
        <v>0.37849999999999995</v>
      </c>
      <c r="M33" s="99">
        <v>1</v>
      </c>
      <c r="N33" s="13">
        <v>96</v>
      </c>
      <c r="O33" s="13" t="s">
        <v>116</v>
      </c>
      <c r="P33" s="13" t="s">
        <v>117</v>
      </c>
      <c r="Q33" s="121"/>
      <c r="R33" s="111">
        <f t="shared" ref="R33:R47" si="18">Q33*I33</f>
        <v>0</v>
      </c>
      <c r="S33">
        <v>5.5E-2</v>
      </c>
      <c r="T33" s="117">
        <f t="shared" ref="T33:T47" si="19">Q33*M33</f>
        <v>0</v>
      </c>
    </row>
    <row r="34" spans="1:24" ht="30" customHeight="1" x14ac:dyDescent="0.2">
      <c r="A34" s="2"/>
      <c r="B34" s="21" t="s">
        <v>118</v>
      </c>
      <c r="C34" s="2" t="s">
        <v>119</v>
      </c>
      <c r="D34" s="2">
        <v>12</v>
      </c>
      <c r="E34" s="2" t="s">
        <v>120</v>
      </c>
      <c r="F34" s="69">
        <v>12.5</v>
      </c>
      <c r="G34" s="82">
        <f t="shared" si="13"/>
        <v>1.0416666666666667</v>
      </c>
      <c r="H34" s="88">
        <v>0.4</v>
      </c>
      <c r="I34" s="70">
        <f t="shared" si="14"/>
        <v>7.5</v>
      </c>
      <c r="J34" s="49">
        <f t="shared" si="15"/>
        <v>0.625</v>
      </c>
      <c r="K34" s="106">
        <f t="shared" si="16"/>
        <v>8.5</v>
      </c>
      <c r="L34" s="106">
        <f t="shared" si="17"/>
        <v>0.70833333333333337</v>
      </c>
      <c r="M34" s="99">
        <v>1</v>
      </c>
      <c r="N34" s="2">
        <v>156</v>
      </c>
      <c r="O34" s="2" t="s">
        <v>80</v>
      </c>
      <c r="P34" s="2" t="s">
        <v>121</v>
      </c>
      <c r="Q34" s="121"/>
      <c r="R34" s="113">
        <f t="shared" si="18"/>
        <v>0</v>
      </c>
      <c r="S34">
        <v>5.5E-2</v>
      </c>
      <c r="T34" s="117">
        <f t="shared" si="19"/>
        <v>0</v>
      </c>
    </row>
    <row r="35" spans="1:24" ht="30" customHeight="1" x14ac:dyDescent="0.2">
      <c r="A35" s="2"/>
      <c r="B35" s="21" t="s">
        <v>122</v>
      </c>
      <c r="C35" s="2" t="s">
        <v>123</v>
      </c>
      <c r="D35" s="2">
        <v>4</v>
      </c>
      <c r="E35" s="2" t="s">
        <v>124</v>
      </c>
      <c r="F35" s="69">
        <v>19.8</v>
      </c>
      <c r="G35" s="82">
        <f t="shared" si="13"/>
        <v>4.95</v>
      </c>
      <c r="H35" s="88">
        <v>0.4</v>
      </c>
      <c r="I35" s="70">
        <f t="shared" si="14"/>
        <v>11.88</v>
      </c>
      <c r="J35" s="49">
        <f t="shared" si="15"/>
        <v>2.97</v>
      </c>
      <c r="K35" s="106">
        <f t="shared" si="16"/>
        <v>12.88</v>
      </c>
      <c r="L35" s="106">
        <f t="shared" si="17"/>
        <v>3.22</v>
      </c>
      <c r="M35" s="99">
        <v>1</v>
      </c>
      <c r="N35" s="2">
        <v>104</v>
      </c>
      <c r="O35" s="2" t="s">
        <v>57</v>
      </c>
      <c r="P35" s="2" t="s">
        <v>125</v>
      </c>
      <c r="Q35" s="121"/>
      <c r="R35" s="113">
        <f t="shared" si="18"/>
        <v>0</v>
      </c>
      <c r="S35">
        <v>5.5E-2</v>
      </c>
      <c r="T35" s="117">
        <f t="shared" si="19"/>
        <v>0</v>
      </c>
    </row>
    <row r="36" spans="1:24" ht="30" customHeight="1" x14ac:dyDescent="0.2">
      <c r="A36" s="2"/>
      <c r="B36" s="21" t="s">
        <v>126</v>
      </c>
      <c r="C36" s="2" t="s">
        <v>83</v>
      </c>
      <c r="D36" s="2">
        <v>24</v>
      </c>
      <c r="E36" s="2" t="s">
        <v>127</v>
      </c>
      <c r="F36" s="69">
        <v>18</v>
      </c>
      <c r="G36" s="82">
        <f t="shared" si="13"/>
        <v>0.75</v>
      </c>
      <c r="H36" s="88">
        <v>0.4</v>
      </c>
      <c r="I36" s="70">
        <f t="shared" si="14"/>
        <v>10.799999999999999</v>
      </c>
      <c r="J36" s="49">
        <f t="shared" si="15"/>
        <v>0.44999999999999996</v>
      </c>
      <c r="K36" s="106">
        <f t="shared" si="16"/>
        <v>11.799999999999999</v>
      </c>
      <c r="L36" s="106">
        <f t="shared" si="17"/>
        <v>0.49166666666666664</v>
      </c>
      <c r="M36" s="99">
        <v>1</v>
      </c>
      <c r="N36" s="2" t="s">
        <v>110</v>
      </c>
      <c r="O36" s="2" t="s">
        <v>128</v>
      </c>
      <c r="P36" s="2" t="s">
        <v>129</v>
      </c>
      <c r="Q36" s="121"/>
      <c r="R36" s="113">
        <f t="shared" si="18"/>
        <v>0</v>
      </c>
      <c r="S36">
        <v>5.5E-2</v>
      </c>
      <c r="T36" s="117">
        <f t="shared" si="19"/>
        <v>0</v>
      </c>
    </row>
    <row r="37" spans="1:24" ht="30" customHeight="1" x14ac:dyDescent="0.2">
      <c r="A37" s="2"/>
      <c r="B37" s="21" t="s">
        <v>130</v>
      </c>
      <c r="C37" s="2" t="s">
        <v>83</v>
      </c>
      <c r="D37" s="2">
        <v>24</v>
      </c>
      <c r="E37" s="2" t="s">
        <v>131</v>
      </c>
      <c r="F37" s="69">
        <v>18</v>
      </c>
      <c r="G37" s="82">
        <f t="shared" si="13"/>
        <v>0.75</v>
      </c>
      <c r="H37" s="88">
        <v>0.4</v>
      </c>
      <c r="I37" s="70">
        <f t="shared" si="14"/>
        <v>10.799999999999999</v>
      </c>
      <c r="J37" s="49">
        <f t="shared" si="15"/>
        <v>0.44999999999999996</v>
      </c>
      <c r="K37" s="106">
        <f t="shared" si="16"/>
        <v>11.799999999999999</v>
      </c>
      <c r="L37" s="106">
        <f t="shared" si="17"/>
        <v>0.49166666666666664</v>
      </c>
      <c r="M37" s="99">
        <v>1</v>
      </c>
      <c r="N37" s="2" t="s">
        <v>110</v>
      </c>
      <c r="O37" s="2" t="s">
        <v>132</v>
      </c>
      <c r="P37" s="2" t="s">
        <v>133</v>
      </c>
      <c r="Q37" s="121"/>
      <c r="R37" s="113">
        <f t="shared" si="18"/>
        <v>0</v>
      </c>
      <c r="S37">
        <v>5.5E-2</v>
      </c>
      <c r="T37" s="117">
        <f t="shared" si="19"/>
        <v>0</v>
      </c>
    </row>
    <row r="38" spans="1:24" ht="30" customHeight="1" x14ac:dyDescent="0.2">
      <c r="A38" s="2"/>
      <c r="B38" s="21" t="s">
        <v>134</v>
      </c>
      <c r="C38" s="2" t="s">
        <v>83</v>
      </c>
      <c r="D38" s="2">
        <v>24</v>
      </c>
      <c r="E38" s="2" t="s">
        <v>135</v>
      </c>
      <c r="F38" s="69">
        <v>20.399999999999999</v>
      </c>
      <c r="G38" s="82">
        <f t="shared" si="13"/>
        <v>0.85</v>
      </c>
      <c r="H38" s="88">
        <v>0.4</v>
      </c>
      <c r="I38" s="70">
        <f t="shared" si="14"/>
        <v>12.239999999999998</v>
      </c>
      <c r="J38" s="49">
        <f t="shared" si="15"/>
        <v>0.5099999999999999</v>
      </c>
      <c r="K38" s="106">
        <f t="shared" si="16"/>
        <v>13.239999999999998</v>
      </c>
      <c r="L38" s="106">
        <f t="shared" si="17"/>
        <v>0.55166666666666664</v>
      </c>
      <c r="M38" s="99">
        <v>1</v>
      </c>
      <c r="N38" s="2" t="s">
        <v>110</v>
      </c>
      <c r="O38" s="2" t="s">
        <v>136</v>
      </c>
      <c r="P38" s="2" t="s">
        <v>137</v>
      </c>
      <c r="Q38" s="121"/>
      <c r="R38" s="113">
        <f t="shared" si="18"/>
        <v>0</v>
      </c>
      <c r="S38">
        <v>5.5E-2</v>
      </c>
      <c r="T38" s="117">
        <f t="shared" si="19"/>
        <v>0</v>
      </c>
      <c r="X38" s="1"/>
    </row>
    <row r="39" spans="1:24" ht="30" customHeight="1" x14ac:dyDescent="0.2">
      <c r="A39" s="2"/>
      <c r="B39" s="21" t="s">
        <v>138</v>
      </c>
      <c r="C39" s="2" t="s">
        <v>21</v>
      </c>
      <c r="D39" s="2">
        <v>24</v>
      </c>
      <c r="E39" s="2" t="s">
        <v>139</v>
      </c>
      <c r="F39" s="69">
        <v>21.6</v>
      </c>
      <c r="G39" s="82">
        <f t="shared" si="13"/>
        <v>0.9</v>
      </c>
      <c r="H39" s="88">
        <v>0.4</v>
      </c>
      <c r="I39" s="70">
        <f t="shared" si="14"/>
        <v>12.96</v>
      </c>
      <c r="J39" s="49">
        <f t="shared" si="15"/>
        <v>0.54</v>
      </c>
      <c r="K39" s="106">
        <f t="shared" si="16"/>
        <v>13.96</v>
      </c>
      <c r="L39" s="106">
        <f t="shared" si="17"/>
        <v>0.58166666666666667</v>
      </c>
      <c r="M39" s="102">
        <v>1</v>
      </c>
      <c r="N39" s="2" t="s">
        <v>110</v>
      </c>
      <c r="O39" s="2" t="s">
        <v>140</v>
      </c>
      <c r="P39" s="2" t="s">
        <v>141</v>
      </c>
      <c r="Q39" s="121"/>
      <c r="R39" s="113">
        <f t="shared" si="18"/>
        <v>0</v>
      </c>
      <c r="S39">
        <v>5.5E-2</v>
      </c>
      <c r="T39" s="117">
        <f t="shared" si="19"/>
        <v>0</v>
      </c>
    </row>
    <row r="40" spans="1:24" ht="30" customHeight="1" x14ac:dyDescent="0.2">
      <c r="A40" s="2"/>
      <c r="B40" s="21" t="s">
        <v>142</v>
      </c>
      <c r="C40" s="2" t="s">
        <v>21</v>
      </c>
      <c r="D40" s="2">
        <v>24</v>
      </c>
      <c r="E40" s="2" t="s">
        <v>143</v>
      </c>
      <c r="F40" s="69">
        <v>21.6</v>
      </c>
      <c r="G40" s="82">
        <f t="shared" si="13"/>
        <v>0.9</v>
      </c>
      <c r="H40" s="88">
        <v>0.4</v>
      </c>
      <c r="I40" s="70">
        <f t="shared" si="14"/>
        <v>12.96</v>
      </c>
      <c r="J40" s="49">
        <f t="shared" si="15"/>
        <v>0.54</v>
      </c>
      <c r="K40" s="106">
        <f t="shared" si="16"/>
        <v>13.96</v>
      </c>
      <c r="L40" s="106">
        <f t="shared" si="17"/>
        <v>0.58166666666666667</v>
      </c>
      <c r="M40" s="102">
        <v>1</v>
      </c>
      <c r="N40" s="2" t="s">
        <v>110</v>
      </c>
      <c r="O40" s="2" t="s">
        <v>144</v>
      </c>
      <c r="P40" s="2" t="s">
        <v>145</v>
      </c>
      <c r="Q40" s="125"/>
      <c r="R40" s="113">
        <f t="shared" si="18"/>
        <v>0</v>
      </c>
      <c r="S40">
        <v>5.5E-2</v>
      </c>
      <c r="T40" s="117">
        <f t="shared" si="19"/>
        <v>0</v>
      </c>
    </row>
    <row r="41" spans="1:24" ht="30" customHeight="1" x14ac:dyDescent="0.2">
      <c r="A41" s="2"/>
      <c r="B41" s="21" t="s">
        <v>146</v>
      </c>
      <c r="C41" s="2" t="s">
        <v>60</v>
      </c>
      <c r="D41" s="2">
        <v>12</v>
      </c>
      <c r="E41" s="2" t="s">
        <v>147</v>
      </c>
      <c r="F41" s="69">
        <v>31.2</v>
      </c>
      <c r="G41" s="82">
        <f t="shared" si="13"/>
        <v>2.6</v>
      </c>
      <c r="H41" s="88">
        <v>0.4</v>
      </c>
      <c r="I41" s="70">
        <f t="shared" si="14"/>
        <v>18.72</v>
      </c>
      <c r="J41" s="49">
        <f t="shared" si="15"/>
        <v>1.5599999999999998</v>
      </c>
      <c r="K41" s="106">
        <f t="shared" si="16"/>
        <v>20.72</v>
      </c>
      <c r="L41" s="106">
        <f t="shared" si="17"/>
        <v>1.7266666666666666</v>
      </c>
      <c r="M41" s="102">
        <v>2</v>
      </c>
      <c r="N41" s="2" t="s">
        <v>110</v>
      </c>
      <c r="O41" s="2" t="s">
        <v>148</v>
      </c>
      <c r="P41" s="2" t="s">
        <v>149</v>
      </c>
      <c r="Q41" s="121"/>
      <c r="R41" s="113">
        <f t="shared" si="18"/>
        <v>0</v>
      </c>
      <c r="S41">
        <v>5.5E-2</v>
      </c>
      <c r="T41" s="117">
        <f t="shared" si="19"/>
        <v>0</v>
      </c>
    </row>
    <row r="42" spans="1:24" ht="30" customHeight="1" x14ac:dyDescent="0.2">
      <c r="A42" s="2"/>
      <c r="B42" s="21" t="s">
        <v>150</v>
      </c>
      <c r="C42" s="2" t="s">
        <v>151</v>
      </c>
      <c r="D42" s="2">
        <v>10</v>
      </c>
      <c r="E42" s="2" t="s">
        <v>152</v>
      </c>
      <c r="F42" s="69">
        <v>18</v>
      </c>
      <c r="G42" s="82">
        <f t="shared" si="13"/>
        <v>1.8</v>
      </c>
      <c r="H42" s="88">
        <v>0.4</v>
      </c>
      <c r="I42" s="70">
        <f t="shared" si="14"/>
        <v>10.799999999999999</v>
      </c>
      <c r="J42" s="49">
        <f t="shared" si="15"/>
        <v>1.0799999999999998</v>
      </c>
      <c r="K42" s="106">
        <f t="shared" si="16"/>
        <v>11.799999999999999</v>
      </c>
      <c r="L42" s="106">
        <f t="shared" si="17"/>
        <v>1.18</v>
      </c>
      <c r="M42" s="102">
        <v>1</v>
      </c>
      <c r="N42" s="2" t="s">
        <v>110</v>
      </c>
      <c r="O42" s="2" t="s">
        <v>153</v>
      </c>
      <c r="P42" s="2" t="s">
        <v>154</v>
      </c>
      <c r="Q42" s="121"/>
      <c r="R42" s="113">
        <f t="shared" si="18"/>
        <v>0</v>
      </c>
      <c r="S42">
        <v>5.5E-2</v>
      </c>
      <c r="T42" s="117">
        <f t="shared" si="19"/>
        <v>0</v>
      </c>
    </row>
    <row r="43" spans="1:24" ht="30" customHeight="1" x14ac:dyDescent="0.2">
      <c r="A43" s="2"/>
      <c r="B43" s="21" t="s">
        <v>155</v>
      </c>
      <c r="C43" s="2" t="s">
        <v>156</v>
      </c>
      <c r="D43" s="2">
        <v>24</v>
      </c>
      <c r="E43" s="2" t="s">
        <v>157</v>
      </c>
      <c r="F43" s="69">
        <v>34.799999999999997</v>
      </c>
      <c r="G43" s="82">
        <f t="shared" si="13"/>
        <v>1.45</v>
      </c>
      <c r="H43" s="88">
        <v>0.4</v>
      </c>
      <c r="I43" s="70">
        <f t="shared" si="14"/>
        <v>20.88</v>
      </c>
      <c r="J43" s="49">
        <f t="shared" si="15"/>
        <v>0.87</v>
      </c>
      <c r="K43" s="106">
        <f t="shared" si="16"/>
        <v>21.88</v>
      </c>
      <c r="L43" s="106">
        <f t="shared" si="17"/>
        <v>0.91166666666666663</v>
      </c>
      <c r="M43" s="102">
        <v>1</v>
      </c>
      <c r="N43" s="2" t="s">
        <v>110</v>
      </c>
      <c r="O43" s="2" t="s">
        <v>158</v>
      </c>
      <c r="P43" s="2" t="s">
        <v>159</v>
      </c>
      <c r="Q43" s="121"/>
      <c r="R43" s="113">
        <f t="shared" si="18"/>
        <v>0</v>
      </c>
      <c r="S43">
        <v>5.5E-2</v>
      </c>
      <c r="T43" s="117">
        <f t="shared" si="19"/>
        <v>0</v>
      </c>
    </row>
    <row r="44" spans="1:24" ht="30" customHeight="1" x14ac:dyDescent="0.2">
      <c r="A44" s="2"/>
      <c r="B44" s="21" t="s">
        <v>160</v>
      </c>
      <c r="C44" s="2" t="s">
        <v>156</v>
      </c>
      <c r="D44" s="2">
        <v>24</v>
      </c>
      <c r="E44" s="2" t="s">
        <v>161</v>
      </c>
      <c r="F44" s="69">
        <v>34.799999999999997</v>
      </c>
      <c r="G44" s="82">
        <f t="shared" si="13"/>
        <v>1.45</v>
      </c>
      <c r="H44" s="88">
        <v>0.4</v>
      </c>
      <c r="I44" s="70">
        <f t="shared" si="14"/>
        <v>20.88</v>
      </c>
      <c r="J44" s="49">
        <f t="shared" si="15"/>
        <v>0.87</v>
      </c>
      <c r="K44" s="106">
        <f t="shared" si="16"/>
        <v>21.88</v>
      </c>
      <c r="L44" s="106">
        <f t="shared" si="17"/>
        <v>0.91166666666666663</v>
      </c>
      <c r="M44" s="102">
        <v>1</v>
      </c>
      <c r="N44" s="2" t="s">
        <v>110</v>
      </c>
      <c r="O44" s="2" t="s">
        <v>153</v>
      </c>
      <c r="P44" s="2" t="s">
        <v>162</v>
      </c>
      <c r="Q44" s="121"/>
      <c r="R44" s="113">
        <f t="shared" si="18"/>
        <v>0</v>
      </c>
      <c r="S44">
        <v>5.5E-2</v>
      </c>
      <c r="T44" s="117">
        <f t="shared" si="19"/>
        <v>0</v>
      </c>
    </row>
    <row r="45" spans="1:24" ht="30" customHeight="1" x14ac:dyDescent="0.2">
      <c r="A45" s="2"/>
      <c r="B45" s="21" t="s">
        <v>163</v>
      </c>
      <c r="C45" s="2" t="s">
        <v>65</v>
      </c>
      <c r="D45" s="2">
        <v>24</v>
      </c>
      <c r="E45" s="2" t="s">
        <v>164</v>
      </c>
      <c r="F45" s="69">
        <v>37.200000000000003</v>
      </c>
      <c r="G45" s="82">
        <f t="shared" si="13"/>
        <v>1.55</v>
      </c>
      <c r="H45" s="88">
        <v>0.4</v>
      </c>
      <c r="I45" s="70">
        <f t="shared" si="14"/>
        <v>22.32</v>
      </c>
      <c r="J45" s="49">
        <f t="shared" si="15"/>
        <v>0.93</v>
      </c>
      <c r="K45" s="106">
        <f t="shared" si="16"/>
        <v>23.32</v>
      </c>
      <c r="L45" s="106">
        <f t="shared" si="17"/>
        <v>0.97166666666666668</v>
      </c>
      <c r="M45" s="102">
        <v>1</v>
      </c>
      <c r="N45" s="2" t="s">
        <v>110</v>
      </c>
      <c r="O45" s="2" t="s">
        <v>165</v>
      </c>
      <c r="P45" s="2" t="s">
        <v>166</v>
      </c>
      <c r="Q45" s="121"/>
      <c r="R45" s="113">
        <f t="shared" si="18"/>
        <v>0</v>
      </c>
      <c r="S45">
        <v>5.5E-2</v>
      </c>
      <c r="T45" s="117">
        <f t="shared" si="19"/>
        <v>0</v>
      </c>
    </row>
    <row r="46" spans="1:24" ht="37.5" customHeight="1" x14ac:dyDescent="0.2">
      <c r="A46" s="2"/>
      <c r="B46" s="21" t="s">
        <v>167</v>
      </c>
      <c r="C46" s="2" t="s">
        <v>151</v>
      </c>
      <c r="D46" s="2">
        <v>15</v>
      </c>
      <c r="E46" s="2" t="s">
        <v>168</v>
      </c>
      <c r="F46" s="69">
        <v>24.75</v>
      </c>
      <c r="G46" s="82">
        <f t="shared" si="13"/>
        <v>1.65</v>
      </c>
      <c r="H46" s="88">
        <v>0.4</v>
      </c>
      <c r="I46" s="70">
        <f t="shared" si="14"/>
        <v>14.85</v>
      </c>
      <c r="J46" s="49">
        <f t="shared" si="15"/>
        <v>0.99</v>
      </c>
      <c r="K46" s="106">
        <f t="shared" si="16"/>
        <v>15.85</v>
      </c>
      <c r="L46" s="106">
        <f t="shared" si="17"/>
        <v>1.0566666666666666</v>
      </c>
      <c r="M46" s="102">
        <v>1</v>
      </c>
      <c r="N46" s="2" t="s">
        <v>110</v>
      </c>
      <c r="O46" s="2" t="s">
        <v>158</v>
      </c>
      <c r="P46" s="2" t="s">
        <v>169</v>
      </c>
      <c r="Q46" s="121"/>
      <c r="R46" s="113">
        <f t="shared" si="18"/>
        <v>0</v>
      </c>
      <c r="S46">
        <v>5.5E-2</v>
      </c>
      <c r="T46" s="117">
        <f t="shared" si="19"/>
        <v>0</v>
      </c>
    </row>
    <row r="47" spans="1:24" ht="30" customHeight="1" thickBot="1" x14ac:dyDescent="0.25">
      <c r="A47" s="14"/>
      <c r="B47" s="19" t="s">
        <v>107</v>
      </c>
      <c r="C47" s="14" t="s">
        <v>108</v>
      </c>
      <c r="D47" s="14">
        <v>6</v>
      </c>
      <c r="E47" s="14" t="s">
        <v>109</v>
      </c>
      <c r="F47" s="71">
        <v>11.1</v>
      </c>
      <c r="G47" s="81">
        <f t="shared" si="13"/>
        <v>1.8499999999999999</v>
      </c>
      <c r="H47" s="89">
        <v>0.4</v>
      </c>
      <c r="I47" s="72">
        <f t="shared" si="14"/>
        <v>6.6599999999999993</v>
      </c>
      <c r="J47" s="50">
        <f t="shared" si="15"/>
        <v>1.1099999999999999</v>
      </c>
      <c r="K47" s="106">
        <f t="shared" si="16"/>
        <v>7.6599999999999993</v>
      </c>
      <c r="L47" s="106">
        <f t="shared" si="17"/>
        <v>1.2766666666666666</v>
      </c>
      <c r="M47" s="103">
        <v>1</v>
      </c>
      <c r="N47" s="14">
        <v>64</v>
      </c>
      <c r="O47" s="14" t="s">
        <v>57</v>
      </c>
      <c r="P47" s="98" t="s">
        <v>112</v>
      </c>
      <c r="Q47" s="122"/>
      <c r="R47" s="114">
        <f t="shared" si="18"/>
        <v>0</v>
      </c>
      <c r="S47">
        <v>5.5E-2</v>
      </c>
      <c r="T47" s="117">
        <f t="shared" si="19"/>
        <v>0</v>
      </c>
    </row>
    <row r="48" spans="1:24" ht="18" customHeight="1" thickBot="1" x14ac:dyDescent="0.25">
      <c r="A48" s="30" t="s">
        <v>170</v>
      </c>
      <c r="B48" s="31"/>
      <c r="C48" s="90"/>
      <c r="D48" s="90"/>
      <c r="E48" s="91"/>
      <c r="F48" s="92"/>
      <c r="G48" s="93"/>
      <c r="H48" s="94"/>
      <c r="I48" s="95"/>
      <c r="J48" s="96"/>
      <c r="K48" s="44"/>
      <c r="L48" s="44"/>
      <c r="M48" s="44"/>
      <c r="N48" s="90"/>
      <c r="O48" s="90"/>
      <c r="P48" s="97" t="s">
        <v>170</v>
      </c>
      <c r="Q48" s="116"/>
      <c r="R48" s="95"/>
      <c r="S48" s="40"/>
      <c r="T48" s="118"/>
      <c r="U48" s="108"/>
    </row>
    <row r="49" spans="1:24" ht="30" customHeight="1" x14ac:dyDescent="0.2">
      <c r="A49" s="13"/>
      <c r="B49" s="16" t="s">
        <v>171</v>
      </c>
      <c r="C49" s="13" t="s">
        <v>83</v>
      </c>
      <c r="D49" s="13">
        <v>12</v>
      </c>
      <c r="E49" s="13" t="s">
        <v>120</v>
      </c>
      <c r="F49" s="67">
        <v>12.5</v>
      </c>
      <c r="G49" s="82">
        <f>F49/D49</f>
        <v>1.0416666666666667</v>
      </c>
      <c r="H49" s="87">
        <v>0.25</v>
      </c>
      <c r="I49" s="68">
        <f>F49*(1-0.25)</f>
        <v>9.375</v>
      </c>
      <c r="J49" s="45">
        <f>I49/D49</f>
        <v>0.78125</v>
      </c>
      <c r="K49" s="106">
        <f>M49+I49</f>
        <v>10.375</v>
      </c>
      <c r="L49" s="106">
        <f>K49/D49</f>
        <v>0.86458333333333337</v>
      </c>
      <c r="M49" s="99">
        <v>1</v>
      </c>
      <c r="N49" s="13">
        <v>156</v>
      </c>
      <c r="O49" s="13" t="s">
        <v>172</v>
      </c>
      <c r="P49" s="13" t="s">
        <v>121</v>
      </c>
      <c r="Q49" s="120"/>
      <c r="R49" s="114">
        <f>Q49*I49</f>
        <v>0</v>
      </c>
      <c r="S49">
        <v>5.5E-2</v>
      </c>
      <c r="T49" s="117">
        <f>Q49*M49</f>
        <v>0</v>
      </c>
    </row>
    <row r="50" spans="1:24" ht="26" customHeight="1" x14ac:dyDescent="0.2">
      <c r="A50" s="123"/>
      <c r="B50" s="123"/>
      <c r="C50" s="123"/>
      <c r="D50" s="123"/>
      <c r="E50" s="123"/>
      <c r="F50" s="123"/>
      <c r="G50" s="123"/>
      <c r="H50" s="123"/>
      <c r="I50" s="124"/>
      <c r="J50" s="124"/>
      <c r="K50" s="124"/>
      <c r="L50" s="124"/>
      <c r="M50" s="124"/>
      <c r="N50" s="123"/>
      <c r="O50" s="131" t="s">
        <v>18</v>
      </c>
      <c r="P50" s="129"/>
      <c r="Q50" s="132">
        <f>SUM(Q7:Q49)</f>
        <v>0</v>
      </c>
      <c r="R50" s="130">
        <f>SUM(R7:R49)</f>
        <v>0</v>
      </c>
      <c r="S50" s="129"/>
      <c r="T50" s="133">
        <f>SUM(T7:T49)</f>
        <v>0</v>
      </c>
      <c r="U50" s="123"/>
      <c r="V50" s="123"/>
      <c r="W50" s="123"/>
      <c r="X50" s="123"/>
    </row>
    <row r="51" spans="1:24" ht="6" customHeight="1" x14ac:dyDescent="0.2">
      <c r="A51" s="4"/>
      <c r="C51" s="6"/>
      <c r="D51" s="6"/>
      <c r="E51" s="6"/>
      <c r="F51" s="6"/>
      <c r="H51" s="6"/>
      <c r="I51" s="41"/>
      <c r="N51" s="6"/>
      <c r="O51" s="6"/>
      <c r="P51" s="6"/>
      <c r="Q51" s="6"/>
      <c r="R51" s="6"/>
    </row>
    <row r="53" spans="1:24" ht="28" customHeight="1" x14ac:dyDescent="0.2">
      <c r="A53" s="140" t="s">
        <v>173</v>
      </c>
      <c r="B53" s="135"/>
      <c r="C53" s="136"/>
      <c r="D53" s="136"/>
      <c r="E53" s="136"/>
      <c r="F53" s="136"/>
      <c r="G53" s="137"/>
      <c r="H53" s="136"/>
      <c r="I53" s="138"/>
      <c r="J53" s="139"/>
      <c r="K53" s="139"/>
      <c r="L53" s="139"/>
      <c r="M53" s="139"/>
      <c r="N53" s="136"/>
      <c r="O53" s="136"/>
      <c r="P53" s="136"/>
      <c r="Q53" s="136"/>
      <c r="R53" s="136"/>
    </row>
  </sheetData>
  <mergeCells count="3">
    <mergeCell ref="A2:R2"/>
    <mergeCell ref="A53:R53"/>
    <mergeCell ref="A4:R4"/>
  </mergeCells>
  <conditionalFormatting sqref="Q7:Q30">
    <cfRule type="expression" dxfId="95" priority="4">
      <formula>AND(Q7&gt;0,Q7&lt;4032)</formula>
    </cfRule>
    <cfRule type="expression" dxfId="94" priority="5">
      <formula>Q7=4032</formula>
    </cfRule>
    <cfRule type="expression" dxfId="93" priority="6">
      <formula>Q7&gt;4032</formula>
    </cfRule>
  </conditionalFormatting>
  <conditionalFormatting sqref="Q12:Q30">
    <cfRule type="expression" dxfId="92" priority="1">
      <formula>AND(Q12&gt;0,Q12&lt;1120)</formula>
    </cfRule>
    <cfRule type="expression" dxfId="91" priority="2">
      <formula>Q12=1120</formula>
    </cfRule>
    <cfRule type="expression" dxfId="90" priority="3">
      <formula>Q12&gt;1120</formula>
    </cfRule>
  </conditionalFormatting>
  <conditionalFormatting sqref="Q14">
    <cfRule type="expression" dxfId="89" priority="105">
      <formula>Q14&gt;352</formula>
    </cfRule>
    <cfRule type="expression" dxfId="88" priority="103">
      <formula>AND(Q14&gt;0,Q14&lt;352)</formula>
    </cfRule>
    <cfRule type="expression" dxfId="87" priority="104">
      <formula>Q14=352</formula>
    </cfRule>
  </conditionalFormatting>
  <conditionalFormatting sqref="Q16">
    <cfRule type="expression" dxfId="86" priority="58">
      <formula>AND(Q16&gt;0,Q16&lt;96)</formula>
    </cfRule>
    <cfRule type="expression" dxfId="85" priority="59">
      <formula>Q16=96</formula>
    </cfRule>
    <cfRule type="expression" dxfId="84" priority="60">
      <formula>Q16&gt;96</formula>
    </cfRule>
  </conditionalFormatting>
  <conditionalFormatting sqref="Q17">
    <cfRule type="expression" dxfId="83" priority="61">
      <formula>AND(Q17&gt;0,Q17&lt;240)</formula>
    </cfRule>
    <cfRule type="expression" dxfId="82" priority="62">
      <formula>Q17=240</formula>
    </cfRule>
    <cfRule type="expression" dxfId="81" priority="63">
      <formula>Q17&gt;240</formula>
    </cfRule>
  </conditionalFormatting>
  <conditionalFormatting sqref="Q18:Q19">
    <cfRule type="expression" dxfId="80" priority="64">
      <formula>AND(Q18&gt;0,Q18&lt;192)</formula>
    </cfRule>
    <cfRule type="expression" dxfId="79" priority="65">
      <formula>Q18=192</formula>
    </cfRule>
    <cfRule type="expression" dxfId="78" priority="66">
      <formula>Q18&gt;192</formula>
    </cfRule>
  </conditionalFormatting>
  <conditionalFormatting sqref="Q20">
    <cfRule type="expression" dxfId="77" priority="70">
      <formula>AND(Q20&gt;0,Q20&lt;240)</formula>
    </cfRule>
    <cfRule type="expression" dxfId="76" priority="71">
      <formula>Q20=240</formula>
    </cfRule>
    <cfRule type="expression" dxfId="75" priority="72">
      <formula>Q20&gt;240</formula>
    </cfRule>
  </conditionalFormatting>
  <conditionalFormatting sqref="Q21">
    <cfRule type="expression" dxfId="74" priority="73">
      <formula>AND(Q21&gt;0,Q21&lt;352)</formula>
    </cfRule>
    <cfRule type="expression" dxfId="73" priority="74">
      <formula>Q21=352</formula>
    </cfRule>
    <cfRule type="expression" dxfId="72" priority="75">
      <formula>Q21&gt;352</formula>
    </cfRule>
  </conditionalFormatting>
  <conditionalFormatting sqref="Q22">
    <cfRule type="expression" dxfId="71" priority="78">
      <formula>Q22&gt;96</formula>
    </cfRule>
    <cfRule type="expression" dxfId="70" priority="76">
      <formula>AND(Q22&gt;0,Q22&lt;96)</formula>
    </cfRule>
    <cfRule type="expression" dxfId="69" priority="77">
      <formula>Q22=96</formula>
    </cfRule>
  </conditionalFormatting>
  <conditionalFormatting sqref="Q23">
    <cfRule type="expression" dxfId="68" priority="79">
      <formula>AND(Q23&gt;0,Q23&lt;240)</formula>
    </cfRule>
    <cfRule type="expression" dxfId="67" priority="80">
      <formula>Q23=240</formula>
    </cfRule>
    <cfRule type="expression" dxfId="66" priority="81">
      <formula>Q23&gt;240</formula>
    </cfRule>
  </conditionalFormatting>
  <conditionalFormatting sqref="Q24">
    <cfRule type="expression" dxfId="65" priority="82">
      <formula>AND(Q24&gt;0,Q24&lt;120)</formula>
    </cfRule>
    <cfRule type="expression" dxfId="64" priority="83">
      <formula>Q24=120</formula>
    </cfRule>
    <cfRule type="expression" dxfId="63" priority="84">
      <formula>Q24&gt;120</formula>
    </cfRule>
  </conditionalFormatting>
  <conditionalFormatting sqref="Q25">
    <cfRule type="expression" dxfId="62" priority="85">
      <formula>AND(Q25&gt;0,Q25&lt;130)</formula>
    </cfRule>
    <cfRule type="expression" dxfId="61" priority="86">
      <formula>Q25=130</formula>
    </cfRule>
    <cfRule type="expression" dxfId="60" priority="87">
      <formula>Q25&gt;130</formula>
    </cfRule>
  </conditionalFormatting>
  <conditionalFormatting sqref="Q26">
    <cfRule type="expression" dxfId="59" priority="88">
      <formula>AND(Q26&gt;0,Q26&lt;100)</formula>
    </cfRule>
    <cfRule type="expression" dxfId="58" priority="89">
      <formula>Q26=100</formula>
    </cfRule>
    <cfRule type="expression" dxfId="57" priority="90">
      <formula>Q26&gt;100</formula>
    </cfRule>
  </conditionalFormatting>
  <conditionalFormatting sqref="Q27">
    <cfRule type="expression" dxfId="56" priority="91">
      <formula>AND(Q27&gt;0,Q27&lt;54)</formula>
    </cfRule>
    <cfRule type="expression" dxfId="55" priority="92">
      <formula>Q27=54</formula>
    </cfRule>
    <cfRule type="expression" dxfId="54" priority="93">
      <formula>Q27&gt;54</formula>
    </cfRule>
  </conditionalFormatting>
  <conditionalFormatting sqref="Q28">
    <cfRule type="expression" dxfId="53" priority="96">
      <formula>Q28&gt;182</formula>
    </cfRule>
    <cfRule type="expression" dxfId="52" priority="94">
      <formula>AND(Q28&gt;0,Q28&lt;182)</formula>
    </cfRule>
    <cfRule type="expression" dxfId="51" priority="95">
      <formula>Q28=182</formula>
    </cfRule>
  </conditionalFormatting>
  <conditionalFormatting sqref="Q29">
    <cfRule type="expression" dxfId="50" priority="99">
      <formula>Q29&gt;128</formula>
    </cfRule>
    <cfRule type="expression" dxfId="49" priority="98">
      <formula>Q29=128</formula>
    </cfRule>
    <cfRule type="expression" dxfId="48" priority="97">
      <formula>AND(Q29&gt;0,Q29&lt;128)</formula>
    </cfRule>
  </conditionalFormatting>
  <conditionalFormatting sqref="Q30">
    <cfRule type="expression" dxfId="47" priority="102">
      <formula>Q30&gt;0</formula>
    </cfRule>
    <cfRule type="expression" dxfId="46" priority="101">
      <formula>Q30=0</formula>
    </cfRule>
    <cfRule type="expression" dxfId="45" priority="100">
      <formula>AND(Q30&gt;0,Q30&lt;0)</formula>
    </cfRule>
  </conditionalFormatting>
  <conditionalFormatting sqref="Q33">
    <cfRule type="expression" dxfId="44" priority="13">
      <formula>AND(Q33&gt;0,Q33&lt;156)</formula>
    </cfRule>
    <cfRule type="expression" dxfId="43" priority="14">
      <formula>Q33=156</formula>
    </cfRule>
    <cfRule type="expression" dxfId="42" priority="15">
      <formula>Q33&gt;156</formula>
    </cfRule>
  </conditionalFormatting>
  <conditionalFormatting sqref="Q34">
    <cfRule type="expression" dxfId="41" priority="16">
      <formula>AND(Q34&gt;0,Q34&lt;312)</formula>
    </cfRule>
    <cfRule type="expression" dxfId="40" priority="17">
      <formula>Q34=312</formula>
    </cfRule>
    <cfRule type="expression" dxfId="39" priority="18">
      <formula>Q34&gt;312</formula>
    </cfRule>
  </conditionalFormatting>
  <conditionalFormatting sqref="Q35">
    <cfRule type="expression" dxfId="38" priority="19">
      <formula>AND(Q35&gt;0,Q35&lt;52)</formula>
    </cfRule>
    <cfRule type="expression" dxfId="37" priority="20">
      <formula>Q35=52</formula>
    </cfRule>
    <cfRule type="expression" dxfId="36" priority="21">
      <formula>Q35&gt;52</formula>
    </cfRule>
  </conditionalFormatting>
  <conditionalFormatting sqref="Q36">
    <cfRule type="expression" dxfId="35" priority="22">
      <formula>AND(Q36&gt;0,Q36&lt;13)</formula>
    </cfRule>
    <cfRule type="expression" dxfId="34" priority="23">
      <formula>Q36=13</formula>
    </cfRule>
    <cfRule type="expression" dxfId="33" priority="24">
      <formula>Q36&gt;13</formula>
    </cfRule>
  </conditionalFormatting>
  <conditionalFormatting sqref="Q37">
    <cfRule type="expression" dxfId="32" priority="25">
      <formula>AND(Q37&gt;0,Q37&lt;7)</formula>
    </cfRule>
    <cfRule type="expression" dxfId="31" priority="26">
      <formula>Q37=7</formula>
    </cfRule>
    <cfRule type="expression" dxfId="30" priority="27">
      <formula>Q37&gt;7</formula>
    </cfRule>
  </conditionalFormatting>
  <conditionalFormatting sqref="Q38">
    <cfRule type="expression" dxfId="29" priority="30">
      <formula>Q38&gt;18</formula>
    </cfRule>
    <cfRule type="expression" dxfId="28" priority="28">
      <formula>AND(Q38&gt;0,Q38&lt;18)</formula>
    </cfRule>
    <cfRule type="expression" dxfId="27" priority="29">
      <formula>Q38=18</formula>
    </cfRule>
  </conditionalFormatting>
  <conditionalFormatting sqref="Q39">
    <cfRule type="expression" dxfId="26" priority="31">
      <formula>AND(Q39&gt;0,Q39&lt;10)</formula>
    </cfRule>
    <cfRule type="expression" dxfId="25" priority="32">
      <formula>Q39=10</formula>
    </cfRule>
    <cfRule type="expression" dxfId="24" priority="33">
      <formula>Q39&gt;10</formula>
    </cfRule>
  </conditionalFormatting>
  <conditionalFormatting sqref="Q41">
    <cfRule type="expression" dxfId="23" priority="34">
      <formula>AND(Q41&gt;0,Q41&lt;11)</formula>
    </cfRule>
    <cfRule type="expression" dxfId="22" priority="35">
      <formula>Q41=11</formula>
    </cfRule>
    <cfRule type="expression" dxfId="21" priority="36">
      <formula>Q41&gt;11</formula>
    </cfRule>
  </conditionalFormatting>
  <conditionalFormatting sqref="Q42">
    <cfRule type="expression" dxfId="20" priority="37">
      <formula>AND(Q42&gt;0,Q42&lt;32)</formula>
    </cfRule>
    <cfRule type="expression" dxfId="19" priority="38">
      <formula>Q42=32</formula>
    </cfRule>
    <cfRule type="expression" dxfId="18" priority="39">
      <formula>Q42&gt;32</formula>
    </cfRule>
  </conditionalFormatting>
  <conditionalFormatting sqref="Q43">
    <cfRule type="expression" dxfId="17" priority="40">
      <formula>AND(Q43&gt;0,Q43&lt;16)</formula>
    </cfRule>
    <cfRule type="expression" dxfId="16" priority="41">
      <formula>Q43=16</formula>
    </cfRule>
    <cfRule type="expression" dxfId="15" priority="42">
      <formula>Q43&gt;16</formula>
    </cfRule>
  </conditionalFormatting>
  <conditionalFormatting sqref="Q44">
    <cfRule type="expression" dxfId="14" priority="43">
      <formula>AND(Q44&gt;0,Q44&lt;32)</formula>
    </cfRule>
    <cfRule type="expression" dxfId="13" priority="44">
      <formula>Q44=32</formula>
    </cfRule>
    <cfRule type="expression" dxfId="12" priority="45">
      <formula>Q44&gt;32</formula>
    </cfRule>
  </conditionalFormatting>
  <conditionalFormatting sqref="Q45">
    <cfRule type="expression" dxfId="11" priority="46">
      <formula>AND(Q45&gt;0,Q45&lt;36)</formula>
    </cfRule>
    <cfRule type="expression" dxfId="10" priority="47">
      <formula>Q45=36</formula>
    </cfRule>
    <cfRule type="expression" dxfId="9" priority="48">
      <formula>Q45&gt;36</formula>
    </cfRule>
  </conditionalFormatting>
  <conditionalFormatting sqref="Q46">
    <cfRule type="expression" dxfId="8" priority="49">
      <formula>AND(Q46&gt;0,Q46&lt;16)</formula>
    </cfRule>
    <cfRule type="expression" dxfId="7" priority="51">
      <formula>Q46&gt;16</formula>
    </cfRule>
    <cfRule type="expression" dxfId="6" priority="50">
      <formula>Q46=16</formula>
    </cfRule>
  </conditionalFormatting>
  <conditionalFormatting sqref="Q47:Q49">
    <cfRule type="expression" dxfId="5" priority="52">
      <formula>AND(Q47&gt;0,Q47&lt;50)</formula>
    </cfRule>
    <cfRule type="expression" dxfId="4" priority="54">
      <formula>Q47&gt;50</formula>
    </cfRule>
    <cfRule type="expression" dxfId="3" priority="53">
      <formula>Q47=50</formula>
    </cfRule>
  </conditionalFormatting>
  <conditionalFormatting sqref="Q49">
    <cfRule type="expression" dxfId="2" priority="7">
      <formula>AND(Q49&gt;0,Q49&lt;3120)</formula>
    </cfRule>
    <cfRule type="expression" dxfId="1" priority="9">
      <formula>Q49&gt;3120</formula>
    </cfRule>
    <cfRule type="expression" dxfId="0" priority="8">
      <formula>Q49=3120</formula>
    </cfRule>
  </conditionalFormatting>
  <dataValidations count="30">
    <dataValidation type="whole" allowBlank="1" showInputMessage="1" showErrorMessage="1" errorTitle="Quantité hors stock" error="Stock limité à 4032 colis pour cette référence." promptTitle="Stock disponible" prompt="Maximum 4032 colis disponibles." sqref="Q7" xr:uid="{00000000-0002-0000-0000-000000000000}">
      <formula1>0</formula1>
      <formula2>4032</formula2>
    </dataValidation>
    <dataValidation type="whole" allowBlank="1" showInputMessage="1" showErrorMessage="1" errorTitle="Quantité hors stock" error="Stock limité à 384 colis pour cette référence." promptTitle="Stock disponible" prompt="Maximum 384 colis disponibles." sqref="Q8" xr:uid="{00000000-0002-0000-0000-000001000000}">
      <formula1>0</formula1>
      <formula2>384</formula2>
    </dataValidation>
    <dataValidation type="whole" allowBlank="1" showInputMessage="1" showErrorMessage="1" errorTitle="Quantité hors stock" error="Stock limité à 684 colis pour cette référence." promptTitle="Stock disponible" prompt="Maximum 684 colis disponibles." sqref="Q9 Q11" xr:uid="{00000000-0002-0000-0000-000002000000}">
      <formula1>0</formula1>
      <formula2>684</formula2>
    </dataValidation>
    <dataValidation type="whole" allowBlank="1" showInputMessage="1" showErrorMessage="1" errorTitle="Quantité hors stock" error="Stock limité à 798 colis pour cette référence." promptTitle="Stock disponible" prompt="Maximum 798 colis disponibles." sqref="Q10" xr:uid="{00000000-0002-0000-0000-000003000000}">
      <formula1>0</formula1>
      <formula2>798</formula2>
    </dataValidation>
    <dataValidation type="whole" allowBlank="1" showInputMessage="1" showErrorMessage="1" errorTitle="Quantité hors stock" error="Stock limité à 1120 colis pour cette référence." promptTitle="Stock disponible" prompt="Maximum 1120 colis disponibles." sqref="Q12" xr:uid="{00000000-0002-0000-0000-000004000000}">
      <formula1>0</formula1>
      <formula2>1120</formula2>
    </dataValidation>
    <dataValidation type="whole" allowBlank="1" showInputMessage="1" showErrorMessage="1" errorTitle="Quantité hors stock" error="Stock limité à 352 colis pour cette référence." promptTitle="Stock disponible" prompt="Maximum 352 colis disponibles." sqref="Q14 Q21" xr:uid="{00000000-0002-0000-0000-000005000000}">
      <formula1>0</formula1>
      <formula2>352</formula2>
    </dataValidation>
    <dataValidation type="whole" allowBlank="1" showInputMessage="1" showErrorMessage="1" errorTitle="Quantité hors stock" error="Stock limité à 144 colis pour cette référence." promptTitle="Stock disponible" prompt="Maximum 144 colis disponibles." sqref="Q16" xr:uid="{00000000-0002-0000-0000-000006000000}">
      <formula1>0</formula1>
      <formula2>144</formula2>
    </dataValidation>
    <dataValidation type="whole" allowBlank="1" showInputMessage="1" showErrorMessage="1" errorTitle="Quantité hors stock" error="Stock limité à 240 colis pour cette référence." promptTitle="Stock disponible" prompt="Maximum 240 colis disponibles." sqref="Q17 Q20 Q23" xr:uid="{00000000-0002-0000-0000-000007000000}">
      <formula1>0</formula1>
      <formula2>240</formula2>
    </dataValidation>
    <dataValidation type="whole" allowBlank="1" showInputMessage="1" showErrorMessage="1" errorTitle="Quantité hors stock" error="Stock limité à 192 colis pour cette référence." promptTitle="Stock disponible" prompt="Maximum 192 colis disponibles." sqref="Q18:Q19 Q47" xr:uid="{00000000-0002-0000-0000-000008000000}">
      <formula1>0</formula1>
      <formula2>192</formula2>
    </dataValidation>
    <dataValidation type="whole" allowBlank="1" showInputMessage="1" showErrorMessage="1" errorTitle="Quantité hors stock" error="Stock limité à 96 colis pour cette référence." promptTitle="Stock disponible" prompt="Maximum 96 colis disponibles." sqref="Q22" xr:uid="{00000000-0002-0000-0000-000009000000}">
      <formula1>0</formula1>
      <formula2>96</formula2>
    </dataValidation>
    <dataValidation type="whole" allowBlank="1" showInputMessage="1" showErrorMessage="1" errorTitle="Quantité hors stock" error="Stock limité à 120 colis pour cette référence." promptTitle="Stock disponible" prompt="Maximum 120 colis disponibles." sqref="Q24" xr:uid="{00000000-0002-0000-0000-00000A000000}">
      <formula1>0</formula1>
      <formula2>120</formula2>
    </dataValidation>
    <dataValidation type="whole" allowBlank="1" showInputMessage="1" showErrorMessage="1" errorTitle="Quantité hors stock" error="Stock limité à 130 colis pour cette référence." promptTitle="Stock disponible" prompt="Maximum 130 colis disponibles." sqref="Q25" xr:uid="{00000000-0002-0000-0000-00000B000000}">
      <formula1>0</formula1>
      <formula2>130</formula2>
    </dataValidation>
    <dataValidation type="whole" allowBlank="1" showInputMessage="1" showErrorMessage="1" errorTitle="Quantité hors stock" error="Stock limité à 100 colis pour cette référence." promptTitle="Stock disponible" prompt="Maximum 100 colis disponibles." sqref="Q26" xr:uid="{00000000-0002-0000-0000-00000C000000}">
      <formula1>0</formula1>
      <formula2>100</formula2>
    </dataValidation>
    <dataValidation type="whole" allowBlank="1" showInputMessage="1" showErrorMessage="1" errorTitle="Quantité hors stock" error="Stock limité à 54 colis pour cette référence." promptTitle="Stock disponible" prompt="Maximum 54 colis disponibles." sqref="Q27" xr:uid="{00000000-0002-0000-0000-00000D000000}">
      <formula1>0</formula1>
      <formula2>54</formula2>
    </dataValidation>
    <dataValidation type="whole" allowBlank="1" showInputMessage="1" showErrorMessage="1" errorTitle="Quantité hors stock" error="Stock limité à 182 colis pour cette référence." promptTitle="Stock disponible" prompt="Maximum 182 colis disponibles." sqref="Q28" xr:uid="{00000000-0002-0000-0000-00000E000000}">
      <formula1>0</formula1>
      <formula2>182</formula2>
    </dataValidation>
    <dataValidation type="whole" allowBlank="1" showInputMessage="1" showErrorMessage="1" errorTitle="Quantité hors stock" error="Stock limité à 128 colis pour cette référence." promptTitle="Stock disponible" prompt="Maximum 128 colis disponibles." sqref="Q29" xr:uid="{00000000-0002-0000-0000-00000F000000}">
      <formula1>0</formula1>
      <formula2>128</formula2>
    </dataValidation>
    <dataValidation type="whole" allowBlank="1" showInputMessage="1" showErrorMessage="1" errorTitle="Quantité hors stock" error="Stock limité à 0 colis pour cette référence." promptTitle="Stock disponible" prompt="Maximum 0 colis disponibles." sqref="Q30" xr:uid="{00000000-0002-0000-0000-000010000000}">
      <formula1>0</formula1>
      <formula2>0</formula2>
    </dataValidation>
    <dataValidation type="whole" allowBlank="1" showInputMessage="1" showErrorMessage="1" errorTitle="Quantité hors stock" error="Stock limité à 156 colis pour cette référence." promptTitle="Stock disponible" prompt="Maximum 156 colis disponibles." sqref="Q33" xr:uid="{00000000-0002-0000-0000-000011000000}">
      <formula1>0</formula1>
      <formula2>156</formula2>
    </dataValidation>
    <dataValidation type="whole" allowBlank="1" showInputMessage="1" showErrorMessage="1" errorTitle="Quantité hors stock" error="Stock limité à 312 colis pour cette référence." promptTitle="Stock disponible" prompt="Maximum 312 colis disponibles." sqref="Q34" xr:uid="{00000000-0002-0000-0000-000012000000}">
      <formula1>0</formula1>
      <formula2>312</formula2>
    </dataValidation>
    <dataValidation type="whole" allowBlank="1" showInputMessage="1" showErrorMessage="1" errorTitle="Quantité hors stock" error="Stock limité à 52 colis pour cette référence." promptTitle="Stock disponible" prompt="Maximum 52 colis disponibles." sqref="Q35" xr:uid="{00000000-0002-0000-0000-000013000000}">
      <formula1>0</formula1>
      <formula2>52</formula2>
    </dataValidation>
    <dataValidation type="whole" allowBlank="1" showInputMessage="1" showErrorMessage="1" errorTitle="Quantité hors stock" error="Stock limité à 13 colis pour cette référence." promptTitle="Stock disponible" prompt="Maximum 13 colis disponibles." sqref="Q36" xr:uid="{00000000-0002-0000-0000-000014000000}">
      <formula1>0</formula1>
      <formula2>13</formula2>
    </dataValidation>
    <dataValidation type="whole" allowBlank="1" showInputMessage="1" showErrorMessage="1" errorTitle="Quantité hors stock" error="Stock limité à 7 colis pour cette référence." promptTitle="Stock disponible" prompt="Maximum 7 colis disponibles." sqref="Q37" xr:uid="{00000000-0002-0000-0000-000015000000}">
      <formula1>0</formula1>
      <formula2>7</formula2>
    </dataValidation>
    <dataValidation type="whole" allowBlank="1" showInputMessage="1" showErrorMessage="1" errorTitle="Quantité hors stock" error="Stock limité à 18 colis pour cette référence." promptTitle="Stock disponible" prompt="Maximum 18 colis disponibles." sqref="Q38" xr:uid="{00000000-0002-0000-0000-000016000000}">
      <formula1>0</formula1>
      <formula2>18</formula2>
    </dataValidation>
    <dataValidation type="whole" allowBlank="1" showInputMessage="1" showErrorMessage="1" errorTitle="Quantité hors stock" error="Stock limité à 10 colis pour cette référence." promptTitle="Stock disponible" prompt="Maximum 10 colis disponibles." sqref="Q39" xr:uid="{00000000-0002-0000-0000-000017000000}">
      <formula1>0</formula1>
      <formula2>10</formula2>
    </dataValidation>
    <dataValidation type="whole" allowBlank="1" showInputMessage="1" showErrorMessage="1" errorTitle="Quantité hors stock" error="Stock limité à 11 colis pour cette référence." promptTitle="Stock disponible" prompt="Maximum 11 colis disponibles." sqref="Q41" xr:uid="{00000000-0002-0000-0000-000018000000}">
      <formula1>0</formula1>
      <formula2>11</formula2>
    </dataValidation>
    <dataValidation type="whole" allowBlank="1" showInputMessage="1" showErrorMessage="1" errorTitle="Quantité hors stock" error="Stock limité à 32 colis pour cette référence." promptTitle="Stock disponible" prompt="Maximum 32 colis disponibles." sqref="Q42 Q44" xr:uid="{00000000-0002-0000-0000-000019000000}">
      <formula1>0</formula1>
      <formula2>32</formula2>
    </dataValidation>
    <dataValidation type="whole" allowBlank="1" showInputMessage="1" showErrorMessage="1" errorTitle="Quantité hors stock" error="Stock limité à 16 colis pour cette référence." promptTitle="Stock disponible" prompt="Maximum 16 colis disponibles." sqref="Q43 Q46" xr:uid="{00000000-0002-0000-0000-00001A000000}">
      <formula1>0</formula1>
      <formula2>16</formula2>
    </dataValidation>
    <dataValidation type="whole" allowBlank="1" showInputMessage="1" showErrorMessage="1" errorTitle="Quantité hors stock" error="Stock limité à 36 colis pour cette référence." promptTitle="Stock disponible" prompt="Maximum 36 colis disponibles." sqref="Q45" xr:uid="{00000000-0002-0000-0000-00001B000000}">
      <formula1>0</formula1>
      <formula2>36</formula2>
    </dataValidation>
    <dataValidation type="whole" allowBlank="1" showInputMessage="1" showErrorMessage="1" errorTitle="Quantité hors stock" error="Stock limité à 3120 colis pour cette référence." promptTitle="Stock disponible" prompt="Maximum 3120 colis disponibles." sqref="Q49" xr:uid="{00000000-0002-0000-0000-00001C000000}">
      <formula1>0</formula1>
      <formula2>3120</formula2>
    </dataValidation>
    <dataValidation type="whole" allowBlank="1" showInputMessage="1" showErrorMessage="1" errorTitle="Quantité hors stock" error="Produit épuisé sur cette remise." promptTitle="Stock disponible" prompt="Maximum 0 colis disponibles." sqref="Q31" xr:uid="{00000000-0002-0000-0000-00001D000000}">
      <formula1>0</formula1>
      <formula2>0</formula2>
    </dataValidation>
  </dataValidations>
  <printOptions horizontalCentered="1"/>
  <pageMargins left="0.3" right="0.3" top="0.3" bottom="0.3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Bon de commande</vt:lpstr>
      <vt:lpstr>'Bon de commande'!Impression_des_titres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Henry</cp:lastModifiedBy>
  <dcterms:created xsi:type="dcterms:W3CDTF">2026-04-27T14:55:37Z</dcterms:created>
  <dcterms:modified xsi:type="dcterms:W3CDTF">2026-04-28T23:00:12Z</dcterms:modified>
</cp:coreProperties>
</file>