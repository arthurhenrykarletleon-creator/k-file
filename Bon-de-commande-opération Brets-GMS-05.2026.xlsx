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th\Downloads\"/>
    </mc:Choice>
  </mc:AlternateContent>
  <xr:revisionPtr revIDLastSave="0" documentId="8_{B1A82136-2F44-4710-A535-8EDCF851EC30}" xr6:coauthVersionLast="47" xr6:coauthVersionMax="47" xr10:uidLastSave="{00000000-0000-0000-0000-000000000000}"/>
  <bookViews>
    <workbookView xWindow="-120" yWindow="-120" windowWidth="29040" windowHeight="15720" xr2:uid="{135A3086-8838-409A-8ECB-800E05F7AB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/>
  <c r="I87" i="1" s="1"/>
  <c r="F20" i="1"/>
  <c r="I20" i="1" s="1"/>
  <c r="F21" i="1"/>
  <c r="I21" i="1" s="1"/>
  <c r="F22" i="1"/>
  <c r="I22" i="1" s="1"/>
  <c r="F23" i="1"/>
  <c r="I23" i="1" s="1"/>
  <c r="F73" i="1"/>
  <c r="I73" i="1" s="1"/>
  <c r="F74" i="1"/>
  <c r="I74" i="1" s="1"/>
  <c r="F75" i="1"/>
  <c r="I75" i="1" s="1"/>
  <c r="F76" i="1"/>
  <c r="I76" i="1" s="1"/>
  <c r="F62" i="1"/>
  <c r="I62" i="1" s="1"/>
  <c r="F13" i="1"/>
  <c r="I13" i="1" s="1"/>
  <c r="F14" i="1"/>
  <c r="I14" i="1" s="1"/>
  <c r="F15" i="1"/>
  <c r="I15" i="1" s="1"/>
  <c r="F16" i="1"/>
  <c r="I16" i="1" s="1"/>
  <c r="F17" i="1"/>
  <c r="I17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9" i="1"/>
  <c r="I79" i="1" s="1"/>
  <c r="F80" i="1"/>
  <c r="I80" i="1" s="1"/>
  <c r="F83" i="1"/>
  <c r="I83" i="1" s="1"/>
  <c r="F84" i="1"/>
  <c r="I84" i="1" s="1"/>
  <c r="F88" i="1"/>
  <c r="I88" i="1" s="1"/>
  <c r="F89" i="1"/>
  <c r="I89" i="1" s="1"/>
  <c r="F92" i="1"/>
  <c r="I92" i="1" s="1"/>
  <c r="F93" i="1"/>
  <c r="I93" i="1" s="1"/>
  <c r="F94" i="1"/>
  <c r="I94" i="1" s="1"/>
  <c r="H95" i="1" l="1"/>
  <c r="I95" i="1"/>
</calcChain>
</file>

<file path=xl/sharedStrings.xml><?xml version="1.0" encoding="utf-8"?>
<sst xmlns="http://schemas.openxmlformats.org/spreadsheetml/2006/main" count="225" uniqueCount="165">
  <si>
    <t>Bret's Mini L'ORIGINALE nature 40g</t>
  </si>
  <si>
    <t>40g</t>
  </si>
  <si>
    <t>Bret's Mini POULET BRAISÉ 40g</t>
  </si>
  <si>
    <t>Bret's Mini FROMAGE DU JURA 40g</t>
  </si>
  <si>
    <t>Bret's Mini MIEL MOUTARDE 40g</t>
  </si>
  <si>
    <t>Bret's Mini PESTO MOZARELLA 40g</t>
  </si>
  <si>
    <t>Bret's Sachets 125g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</si>
  <si>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</si>
  <si>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</si>
  <si>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</si>
  <si>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</si>
  <si>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</si>
  <si>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</si>
  <si>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</si>
  <si>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</si>
  <si>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</si>
  <si>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</si>
  <si>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</si>
  <si>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</si>
  <si>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</si>
  <si>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</si>
  <si>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</si>
  <si>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</si>
  <si>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</si>
  <si>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</si>
  <si>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</si>
  <si>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</si>
  <si>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</si>
  <si>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</si>
  <si>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</si>
  <si>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</si>
  <si>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</si>
  <si>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</si>
  <si>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</si>
  <si>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</si>
  <si>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</si>
  <si>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</si>
  <si>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</si>
  <si>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</si>
  <si>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</si>
  <si>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</si>
  <si>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</si>
  <si>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</si>
  <si>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KEBAB</t>
  </si>
  <si>
    <t>Bret's ALIGOT à L'AVEYRONNAISE</t>
  </si>
  <si>
    <t>Bret's MOUTARDE au PIMENT de CAYENNE</t>
  </si>
  <si>
    <t>Bret's FALAFELS à la LIBANAISE</t>
  </si>
  <si>
    <t>Bret's TAJINE DE POULET AUX EPICES</t>
  </si>
  <si>
    <t>Bret's BEURRE PERSILLE</t>
  </si>
  <si>
    <t>Bret's SAUCE BBQ</t>
  </si>
  <si>
    <t>Bret's BBQ &amp; JALAPENO</t>
  </si>
  <si>
    <t>Bret's BBQ A LA MEXICAINE</t>
  </si>
  <si>
    <t xml:space="preserve">Bret's BBQ FLAMBÉ au WHISKY </t>
  </si>
  <si>
    <t>Bret's BRIE TRUFFE</t>
  </si>
  <si>
    <t>Bret's CAMEMBERT TRUFFE</t>
  </si>
  <si>
    <t>Bret's Rotisserie</t>
  </si>
  <si>
    <t>Bret's ROTISSERIE nature</t>
  </si>
  <si>
    <t>120g</t>
  </si>
  <si>
    <t xml:space="preserve"> </t>
  </si>
  <si>
    <t>Bret's Premium Légumes - Bio</t>
  </si>
  <si>
    <t>Bret's NATURE BIO</t>
  </si>
  <si>
    <t>100g</t>
  </si>
  <si>
    <t>Bret's LÉGUMES</t>
  </si>
  <si>
    <t>Bret's Sarrasin</t>
  </si>
  <si>
    <t>Bret's SARRASIN Nature</t>
  </si>
  <si>
    <t>Bret's SARRASIN Forestière</t>
  </si>
  <si>
    <t>Bret's Millésime</t>
  </si>
  <si>
    <t>Bret's Millésime NATURE AU SEL DE GUÉRANDE</t>
  </si>
  <si>
    <t>130g</t>
  </si>
  <si>
    <t>Bret's Millésime POIVRE DE TIMUT</t>
  </si>
  <si>
    <t xml:space="preserve">Bret's Millésime TRUFFE D'ÉTÉ </t>
  </si>
  <si>
    <t>Description</t>
  </si>
  <si>
    <t>EAN UC</t>
  </si>
  <si>
    <t>Unité</t>
  </si>
  <si>
    <t>Cond.</t>
  </si>
  <si>
    <r>
      <t xml:space="preserve">Commande à la palette uniquement </t>
    </r>
    <r>
      <rPr>
        <b/>
        <sz val="16"/>
        <color theme="1"/>
        <rFont val="Aptos Narrow"/>
        <family val="2"/>
        <scheme val="minor"/>
      </rPr>
      <t>par multiples de 90 colis panachables</t>
    </r>
    <r>
      <rPr>
        <sz val="16"/>
        <color theme="1"/>
        <rFont val="Aptos Narrow"/>
        <family val="2"/>
        <scheme val="minor"/>
      </rPr>
      <t xml:space="preserve"> svp (ex: 90 colis ou 180 colis ou 270 colis etc,,,)</t>
    </r>
  </si>
  <si>
    <t>Bret's AIL CONFIT et HERBES de PROVENCE</t>
  </si>
  <si>
    <t>Brets Chips de Crêpes NATURE 50g</t>
  </si>
  <si>
    <t>50g</t>
  </si>
  <si>
    <t>CREPNAT50</t>
  </si>
  <si>
    <t>Brets Chips de Crêpes BEURRE CITRON 50g</t>
  </si>
  <si>
    <t>CREPBEURCIT50</t>
  </si>
  <si>
    <t>Brets Chips de Crêpes CARAMEL AU BEURRE SALÉ 50g</t>
  </si>
  <si>
    <t>CREPCARA50</t>
  </si>
  <si>
    <t>Brets Chips de Crêpes FRUITS ROUGES 50g</t>
  </si>
  <si>
    <t>CREPFRUIT50</t>
  </si>
  <si>
    <t>Chips de Crêpes Bret's sucrées 100g</t>
  </si>
  <si>
    <t>Brets Chips de Crêpes NATURE 100g</t>
  </si>
  <si>
    <t>CREPNAT100</t>
  </si>
  <si>
    <t>Brets Chips de Crêpes BEURRE CITRON 100g</t>
  </si>
  <si>
    <t>CREPBEURCIT100</t>
  </si>
  <si>
    <t>Brets Chips de Crêpes CARAMEL BEURRE SALE 100g</t>
  </si>
  <si>
    <t>CREPCARA100</t>
  </si>
  <si>
    <t>Brets Chips de Crêpes FRUITS ROUGES 100g</t>
  </si>
  <si>
    <t>CREPFRUIT100</t>
  </si>
  <si>
    <t>Nouveautés 2026 Sachets 125g</t>
  </si>
  <si>
    <t>TOTAL</t>
  </si>
  <si>
    <t>Bret's Mini SARRASIN Nature</t>
  </si>
  <si>
    <t>BMINIORI</t>
  </si>
  <si>
    <t>BMINIPOUL</t>
  </si>
  <si>
    <t>BMINIFROJ</t>
  </si>
  <si>
    <t>BMINIMIEL</t>
  </si>
  <si>
    <t>BMINIPESTO</t>
  </si>
  <si>
    <t>BANCIENNE</t>
  </si>
  <si>
    <t>BCRAQ</t>
  </si>
  <si>
    <t>BORI</t>
  </si>
  <si>
    <t>BPAYS</t>
  </si>
  <si>
    <t>BBOEUF</t>
  </si>
  <si>
    <t>BOIGNON</t>
  </si>
  <si>
    <t>BPIZZA</t>
  </si>
  <si>
    <t>BPOIVRON</t>
  </si>
  <si>
    <t>BPOULET</t>
  </si>
  <si>
    <t>BVINAIGRE</t>
  </si>
  <si>
    <t>BAIOLI</t>
  </si>
  <si>
    <t>BBACON</t>
  </si>
  <si>
    <t>BBEURRE</t>
  </si>
  <si>
    <t>BCAM</t>
  </si>
  <si>
    <t>BCEPES</t>
  </si>
  <si>
    <t>BCHEVRE</t>
  </si>
  <si>
    <t>BFROJ</t>
  </si>
  <si>
    <t>BFROF</t>
  </si>
  <si>
    <t>BPESTO</t>
  </si>
  <si>
    <t>BPOMF</t>
  </si>
  <si>
    <t>BYAKI</t>
  </si>
  <si>
    <t>BCHEDDAR</t>
  </si>
  <si>
    <t>BMIEL</t>
  </si>
  <si>
    <t>BPILI</t>
  </si>
  <si>
    <t>BTARTI</t>
  </si>
  <si>
    <t>BBLEUAUV</t>
  </si>
  <si>
    <t>BJALA</t>
  </si>
  <si>
    <t>BSAUCECUR</t>
  </si>
  <si>
    <t>BCARBONARA</t>
  </si>
  <si>
    <t>BCARBONADE</t>
  </si>
  <si>
    <t>BKEBAB</t>
  </si>
  <si>
    <t>BALIGOT</t>
  </si>
  <si>
    <t>BMOUTARDE</t>
  </si>
  <si>
    <t>BFALAFELS</t>
  </si>
  <si>
    <t>BTAJINE</t>
  </si>
  <si>
    <t>BBEURPERS</t>
  </si>
  <si>
    <t>BSAUCEBBQ</t>
  </si>
  <si>
    <t>BBBQJALA</t>
  </si>
  <si>
    <t>BBBQMEXI</t>
  </si>
  <si>
    <t>BBBQWHIS</t>
  </si>
  <si>
    <t>BBRIE</t>
  </si>
  <si>
    <t>BCAMTRUF</t>
  </si>
  <si>
    <t>BCONFAIL</t>
  </si>
  <si>
    <t>BROTISS</t>
  </si>
  <si>
    <t>BAIL</t>
  </si>
  <si>
    <t>BBIO</t>
  </si>
  <si>
    <t>BLEGUM</t>
  </si>
  <si>
    <t>BMINISARRA</t>
  </si>
  <si>
    <t>BSARRA</t>
  </si>
  <si>
    <t>BSARRAFOR</t>
  </si>
  <si>
    <t>BGUERANDE</t>
  </si>
  <si>
    <t>BPOIVR</t>
  </si>
  <si>
    <t>BTRUF</t>
  </si>
  <si>
    <t>Bret's AIL et HERBES de PROVENCE rotisserie</t>
  </si>
  <si>
    <r>
      <t xml:space="preserve">Prix UC </t>
    </r>
    <r>
      <rPr>
        <b/>
        <sz val="11"/>
        <color theme="1"/>
        <rFont val="Calibri"/>
        <family val="2"/>
      </rPr>
      <t>promo</t>
    </r>
  </si>
  <si>
    <t>Prix promo colis</t>
  </si>
  <si>
    <t>Ref interne</t>
  </si>
  <si>
    <t>Nombre de colis commandé</t>
  </si>
  <si>
    <t>Montant HT</t>
  </si>
  <si>
    <t xml:space="preserve">         Opération BRET'S à la palette GMS</t>
  </si>
  <si>
    <t>Chips de Crêpes Bret's sucrées Snacking 50g</t>
  </si>
  <si>
    <t xml:space="preserve">Bret's Snacking sachets 40g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</si>
</sst>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b/>
      <sz val="13"/>
      <color theme="1"/>
      <name val="Aptos Narrow"/>
      <family val="2"/>
      <scheme val="minor"/>
    </font>
    <font>
      <b/>
      <sz val="11"/>
      <color rgb="FF7030A0"/>
      <name val="Calibri"/>
      <family val="2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color rgb="FF333333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2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49" fontId="2" fillId="2" borderId="3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49" fontId="3" fillId="7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vertical="center" wrapText="1"/>
    </xf>
    <xf numFmtId="0" fontId="1" fillId="0" borderId="9" xfId="0" applyFont="1" applyBorder="1" applyAlignment="1">
      <alignment horizontal="center"/>
    </xf>
    <xf numFmtId="49" fontId="2" fillId="2" borderId="1" xfId="0" applyNumberFormat="1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vertical="center" wrapText="1"/>
    </xf>
    <xf numFmtId="49" fontId="3" fillId="7" borderId="2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9" borderId="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6" fillId="6" borderId="1" xfId="0" applyNumberFormat="1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49" fontId="6" fillId="3" borderId="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vertical="center"/>
    </xf>
    <xf numFmtId="49" fontId="3" fillId="8" borderId="2" xfId="0" applyNumberFormat="1" applyFont="1" applyFill="1" applyBorder="1" applyAlignment="1">
      <alignment vertical="center" wrapText="1"/>
    </xf>
    <xf numFmtId="49" fontId="6" fillId="3" borderId="3" xfId="0" applyNumberFormat="1" applyFont="1" applyFill="1" applyBorder="1" applyAlignment="1">
      <alignment vertical="center" wrapText="1"/>
    </xf>
    <xf numFmtId="49" fontId="3" fillId="11" borderId="2" xfId="0" applyNumberFormat="1" applyFont="1" applyFill="1" applyBorder="1" applyAlignment="1">
      <alignment vertical="center"/>
    </xf>
    <xf numFmtId="49" fontId="2" fillId="3" borderId="8" xfId="0" applyNumberFormat="1" applyFont="1" applyFill="1" applyBorder="1" applyAlignment="1">
      <alignment vertical="center" wrapText="1"/>
    </xf>
    <xf numFmtId="49" fontId="6" fillId="3" borderId="3" xfId="0" applyNumberFormat="1" applyFont="1" applyFill="1" applyBorder="1" applyAlignment="1">
      <alignment vertical="center"/>
    </xf>
    <xf numFmtId="49" fontId="6" fillId="2" borderId="3" xfId="0" applyNumberFormat="1" applyFont="1" applyFill="1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9" fontId="3" fillId="11" borderId="11" xfId="0" applyNumberFormat="1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13" fillId="2" borderId="9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D1E-DEFF-49D3-9531-9C90C4829FF7}">
  <dimension ref="A5:I95"/>
  <sheetViews>
    <sheetView tabSelected="1" workbookViewId="0">
      <selection activeCell="K86" sqref="K86"/>
    </sheetView>
  </sheetViews>
  <sheetFormatPr baseColWidth="10" defaultRowHeight="15" x14ac:dyDescent="0.25"/>
  <cols>
    <col min="1" max="1" width="63.28515625" customWidth="1"/>
    <col min="2" max="2" width="7" customWidth="1"/>
    <col min="3" max="3" width="5.42578125" customWidth="1"/>
    <col min="4" max="4" width="18.5703125" customWidth="1"/>
    <col min="5" max="5" width="9" style="1" customWidth="1"/>
    <col min="6" max="6" width="9.5703125" style="1" customWidth="1"/>
    <col min="7" max="7" width="14.7109375" style="1" customWidth="1"/>
    <col min="8" max="8" width="17.140625" style="1" customWidth="1"/>
    <col min="9" max="9" width="11" style="1"/>
  </cols>
  <sheetData>
    <row r="5" spans="1:9" ht="26.25" x14ac:dyDescent="0.4">
      <c r="B5" s="63"/>
      <c r="C5" s="64" t="s">
        <v>162</v>
      </c>
      <c r="D5" s="65"/>
    </row>
    <row r="7" spans="1:9" ht="21" x14ac:dyDescent="0.35">
      <c r="B7" s="27"/>
      <c r="C7" s="27"/>
      <c r="E7" s="28"/>
      <c r="F7" s="28"/>
      <c r="G7" s="28"/>
      <c r="H7" s="28"/>
    </row>
    <row r="8" spans="1:9" ht="21" x14ac:dyDescent="0.35">
      <c r="A8" s="66" t="s">
        <v>75</v>
      </c>
      <c r="B8" s="66"/>
      <c r="C8" s="66"/>
      <c r="D8" s="66"/>
      <c r="E8" s="67"/>
      <c r="F8" s="67"/>
      <c r="G8" s="67"/>
      <c r="H8" s="67"/>
      <c r="I8" s="68"/>
    </row>
    <row r="9" spans="1:9" ht="15.75" thickBot="1" x14ac:dyDescent="0.3"/>
    <row r="10" spans="1:9" ht="45.75" thickBot="1" x14ac:dyDescent="0.3">
      <c r="A10" s="56" t="s">
        <v>71</v>
      </c>
      <c r="B10" s="57" t="s">
        <v>74</v>
      </c>
      <c r="C10" s="58" t="s">
        <v>73</v>
      </c>
      <c r="D10" s="58" t="s">
        <v>72</v>
      </c>
      <c r="E10" s="57" t="s">
        <v>157</v>
      </c>
      <c r="F10" s="59" t="s">
        <v>158</v>
      </c>
      <c r="G10" s="60" t="s">
        <v>159</v>
      </c>
      <c r="H10" s="61" t="s">
        <v>160</v>
      </c>
      <c r="I10" s="62" t="s">
        <v>161</v>
      </c>
    </row>
    <row r="11" spans="1:9" ht="15.75" thickBot="1" x14ac:dyDescent="0.3">
      <c r="A11" s="36"/>
      <c r="B11" s="5"/>
      <c r="C11" s="6"/>
      <c r="D11" s="7"/>
      <c r="E11" s="8"/>
      <c r="F11" s="11"/>
      <c r="G11" s="47"/>
      <c r="H11" s="8"/>
      <c r="I11" s="3"/>
    </row>
    <row r="12" spans="1:9" ht="15.75" thickBot="1" x14ac:dyDescent="0.3">
      <c r="A12" s="16" t="s">
        <v>164</v>
      </c>
      <c r="B12" s="17"/>
      <c r="C12" s="6"/>
      <c r="D12" s="7"/>
      <c r="E12" s="8"/>
      <c r="F12" s="9"/>
      <c r="G12" s="45"/>
      <c r="H12" s="8"/>
      <c r="I12" s="3"/>
    </row>
    <row r="13" spans="1:9" x14ac:dyDescent="0.25">
      <c r="A13" s="39" t="s">
        <v>0</v>
      </c>
      <c r="B13" s="5" t="s">
        <v>1</v>
      </c>
      <c r="C13" s="6">
        <v>18</v>
      </c>
      <c r="D13" s="7">
        <v>3497917001196</v>
      </c>
      <c r="E13" s="53">
        <v>0.4</v>
      </c>
      <c r="F13" s="11">
        <f>E13*C13</f>
        <v>7.2</v>
      </c>
      <c r="G13" s="46" t="s">
        <v>98</v>
      </c>
      <c r="H13" s="21"/>
      <c r="I13" s="3">
        <f t="shared" ref="I11:I71" si="0">H13*F13</f>
        <v>0</v>
      </c>
    </row>
    <row r="14" spans="1:9" x14ac:dyDescent="0.25">
      <c r="A14" s="10" t="s">
        <v>2</v>
      </c>
      <c r="B14" s="5" t="s">
        <v>1</v>
      </c>
      <c r="C14" s="6">
        <v>18</v>
      </c>
      <c r="D14" s="7">
        <v>3497917004202</v>
      </c>
      <c r="E14" s="53">
        <v>0.5</v>
      </c>
      <c r="F14" s="11">
        <f>E14*C14</f>
        <v>9</v>
      </c>
      <c r="G14" s="46" t="s">
        <v>99</v>
      </c>
      <c r="H14" s="21"/>
      <c r="I14" s="3">
        <f t="shared" si="0"/>
        <v>0</v>
      </c>
    </row>
    <row r="15" spans="1:9" x14ac:dyDescent="0.25">
      <c r="A15" s="10" t="s">
        <v>3</v>
      </c>
      <c r="B15" s="5" t="s">
        <v>1</v>
      </c>
      <c r="C15" s="6">
        <v>18</v>
      </c>
      <c r="D15" s="7">
        <v>3497917004479</v>
      </c>
      <c r="E15" s="53">
        <v>0.5</v>
      </c>
      <c r="F15" s="11">
        <f>E15*C15</f>
        <v>9</v>
      </c>
      <c r="G15" s="46" t="s">
        <v>100</v>
      </c>
      <c r="H15" s="21"/>
      <c r="I15" s="3">
        <f t="shared" si="0"/>
        <v>0</v>
      </c>
    </row>
    <row r="16" spans="1:9" x14ac:dyDescent="0.25">
      <c r="A16" s="10" t="s">
        <v>4</v>
      </c>
      <c r="B16" s="5" t="s">
        <v>1</v>
      </c>
      <c r="C16" s="6">
        <v>18</v>
      </c>
      <c r="D16" s="7">
        <v>3497917004486</v>
      </c>
      <c r="E16" s="53">
        <v>0.5</v>
      </c>
      <c r="F16" s="11">
        <f>E16*C16</f>
        <v>9</v>
      </c>
      <c r="G16" s="46" t="s">
        <v>101</v>
      </c>
      <c r="H16" s="21"/>
      <c r="I16" s="3">
        <f t="shared" si="0"/>
        <v>0</v>
      </c>
    </row>
    <row r="17" spans="1:9" x14ac:dyDescent="0.25">
      <c r="A17" s="10" t="s">
        <v>5</v>
      </c>
      <c r="B17" s="5" t="s">
        <v>1</v>
      </c>
      <c r="C17" s="6">
        <v>18</v>
      </c>
      <c r="D17" s="7">
        <v>3497917004493</v>
      </c>
      <c r="E17" s="53">
        <v>0.5</v>
      </c>
      <c r="F17" s="11">
        <f>E17*C17</f>
        <v>9</v>
      </c>
      <c r="G17" s="46" t="s">
        <v>102</v>
      </c>
      <c r="H17" s="21"/>
      <c r="I17" s="3">
        <f t="shared" si="0"/>
        <v>0</v>
      </c>
    </row>
    <row r="18" spans="1:9" ht="15.75" thickBot="1" x14ac:dyDescent="0.3">
      <c r="A18" s="70"/>
      <c r="B18" s="17"/>
      <c r="C18" s="6"/>
      <c r="D18" s="7"/>
      <c r="E18" s="53"/>
      <c r="F18" s="11"/>
      <c r="G18" s="69"/>
      <c r="H18" s="8"/>
      <c r="I18" s="3"/>
    </row>
    <row r="19" spans="1:9" ht="15.75" thickBot="1" x14ac:dyDescent="0.3">
      <c r="A19" s="35" t="s">
        <v>163</v>
      </c>
      <c r="B19" s="17"/>
      <c r="C19" s="6"/>
      <c r="D19" s="13"/>
      <c r="E19" s="5"/>
      <c r="F19" s="9"/>
      <c r="G19" s="45"/>
      <c r="H19" s="8"/>
      <c r="I19" s="3"/>
    </row>
    <row r="20" spans="1:9" x14ac:dyDescent="0.25">
      <c r="A20" s="37" t="s">
        <v>77</v>
      </c>
      <c r="B20" s="5" t="s">
        <v>78</v>
      </c>
      <c r="C20" s="6">
        <v>14</v>
      </c>
      <c r="D20" s="13">
        <v>3497917004684</v>
      </c>
      <c r="E20" s="54">
        <v>1.1499999999999999</v>
      </c>
      <c r="F20" s="11">
        <f>E20*C20</f>
        <v>16.099999999999998</v>
      </c>
      <c r="G20" s="46" t="s">
        <v>79</v>
      </c>
      <c r="H20" s="21"/>
      <c r="I20" s="3">
        <f>H20*F20</f>
        <v>0</v>
      </c>
    </row>
    <row r="21" spans="1:9" x14ac:dyDescent="0.25">
      <c r="A21" s="29" t="s">
        <v>80</v>
      </c>
      <c r="B21" s="5" t="s">
        <v>78</v>
      </c>
      <c r="C21" s="6">
        <v>14</v>
      </c>
      <c r="D21" s="13">
        <v>3497917004707</v>
      </c>
      <c r="E21" s="54">
        <v>1.1499999999999999</v>
      </c>
      <c r="F21" s="11">
        <f>E21*C21</f>
        <v>16.099999999999998</v>
      </c>
      <c r="G21" s="46" t="s">
        <v>81</v>
      </c>
      <c r="H21" s="21"/>
      <c r="I21" s="3">
        <f>H21*F21</f>
        <v>0</v>
      </c>
    </row>
    <row r="22" spans="1:9" x14ac:dyDescent="0.25">
      <c r="A22" s="29" t="s">
        <v>82</v>
      </c>
      <c r="B22" s="5" t="s">
        <v>78</v>
      </c>
      <c r="C22" s="6">
        <v>14</v>
      </c>
      <c r="D22" s="7">
        <v>3497917004714</v>
      </c>
      <c r="E22" s="54">
        <v>1.1499999999999999</v>
      </c>
      <c r="F22" s="11">
        <f>E22*C22</f>
        <v>16.099999999999998</v>
      </c>
      <c r="G22" s="46" t="s">
        <v>83</v>
      </c>
      <c r="H22" s="21"/>
      <c r="I22" s="3">
        <f>H22*F22</f>
        <v>0</v>
      </c>
    </row>
    <row r="23" spans="1:9" x14ac:dyDescent="0.25">
      <c r="A23" s="29" t="s">
        <v>84</v>
      </c>
      <c r="B23" s="5" t="s">
        <v>78</v>
      </c>
      <c r="C23" s="6">
        <v>14</v>
      </c>
      <c r="D23" s="13">
        <v>3497917004691</v>
      </c>
      <c r="E23" s="54">
        <v>1.1499999999999999</v>
      </c>
      <c r="F23" s="11">
        <f>E23*C23</f>
        <v>16.099999999999998</v>
      </c>
      <c r="G23" s="46" t="s">
        <v>85</v>
      </c>
      <c r="H23" s="21"/>
      <c r="I23" s="3">
        <f>H23*F23</f>
        <v>0</v>
      </c>
    </row>
    <row r="24" spans="1:9" ht="15.75" thickBot="1" x14ac:dyDescent="0.3">
      <c r="A24" s="36"/>
      <c r="B24" s="5"/>
      <c r="C24" s="6"/>
      <c r="D24" s="7"/>
      <c r="E24" s="8"/>
      <c r="F24" s="11"/>
      <c r="G24" s="47"/>
      <c r="H24" s="8"/>
      <c r="I24" s="3"/>
    </row>
    <row r="25" spans="1:9" ht="15.75" thickBot="1" x14ac:dyDescent="0.3">
      <c r="A25" s="16" t="s">
        <v>6</v>
      </c>
      <c r="B25" s="17"/>
      <c r="C25" s="6"/>
      <c r="D25" s="7"/>
      <c r="E25" s="8"/>
      <c r="F25" s="11"/>
      <c r="G25" s="47"/>
      <c r="H25" s="8"/>
      <c r="I25" s="3"/>
    </row>
    <row r="26" spans="1:9" x14ac:dyDescent="0.25">
      <c r="A26" s="2" t="s">
        <v>7</v>
      </c>
      <c r="B26" s="5" t="s">
        <v>8</v>
      </c>
      <c r="C26" s="6">
        <v>10</v>
      </c>
      <c r="D26" s="7" t="s">
        <v>9</v>
      </c>
      <c r="E26" s="52">
        <v>1.1499999999999999</v>
      </c>
      <c r="F26" s="11">
        <f t="shared" ref="F26:F59" si="1">E26*C26</f>
        <v>11.5</v>
      </c>
      <c r="G26" s="46" t="s">
        <v>103</v>
      </c>
      <c r="H26" s="21"/>
      <c r="I26" s="3">
        <f t="shared" si="0"/>
        <v>0</v>
      </c>
    </row>
    <row r="27" spans="1:9" x14ac:dyDescent="0.25">
      <c r="A27" s="12" t="s">
        <v>10</v>
      </c>
      <c r="B27" s="5" t="s">
        <v>8</v>
      </c>
      <c r="C27" s="6">
        <v>10</v>
      </c>
      <c r="D27" s="7" t="s">
        <v>11</v>
      </c>
      <c r="E27" s="52">
        <v>1.1499999999999999</v>
      </c>
      <c r="F27" s="11">
        <f t="shared" si="1"/>
        <v>11.5</v>
      </c>
      <c r="G27" s="46" t="s">
        <v>104</v>
      </c>
      <c r="H27" s="21"/>
      <c r="I27" s="3">
        <f t="shared" si="0"/>
        <v>0</v>
      </c>
    </row>
    <row r="28" spans="1:9" x14ac:dyDescent="0.25">
      <c r="A28" s="12" t="s">
        <v>12</v>
      </c>
      <c r="B28" s="5" t="s">
        <v>8</v>
      </c>
      <c r="C28" s="6">
        <v>10</v>
      </c>
      <c r="D28" s="7" t="s">
        <v>13</v>
      </c>
      <c r="E28" s="52">
        <v>1.1499999999999999</v>
      </c>
      <c r="F28" s="11">
        <f t="shared" si="1"/>
        <v>11.5</v>
      </c>
      <c r="G28" s="46" t="s">
        <v>105</v>
      </c>
      <c r="H28" s="21"/>
      <c r="I28" s="3">
        <f t="shared" si="0"/>
        <v>0</v>
      </c>
    </row>
    <row r="29" spans="1:9" x14ac:dyDescent="0.25">
      <c r="A29" s="12" t="s">
        <v>14</v>
      </c>
      <c r="B29" s="5" t="s">
        <v>8</v>
      </c>
      <c r="C29" s="6">
        <v>10</v>
      </c>
      <c r="D29" s="7" t="s">
        <v>15</v>
      </c>
      <c r="E29" s="52">
        <v>1.1499999999999999</v>
      </c>
      <c r="F29" s="11">
        <f t="shared" si="1"/>
        <v>11.5</v>
      </c>
      <c r="G29" s="46" t="s">
        <v>106</v>
      </c>
      <c r="H29" s="21"/>
      <c r="I29" s="3">
        <f t="shared" si="0"/>
        <v>0</v>
      </c>
    </row>
    <row r="30" spans="1:9" x14ac:dyDescent="0.25">
      <c r="A30" s="12" t="s">
        <v>16</v>
      </c>
      <c r="B30" s="5" t="s">
        <v>8</v>
      </c>
      <c r="C30" s="6">
        <v>10</v>
      </c>
      <c r="D30" s="7">
        <v>3497917000990</v>
      </c>
      <c r="E30" s="52">
        <v>1.3</v>
      </c>
      <c r="F30" s="11">
        <f t="shared" si="1"/>
        <v>13</v>
      </c>
      <c r="G30" s="46" t="s">
        <v>107</v>
      </c>
      <c r="H30" s="21"/>
      <c r="I30" s="3">
        <f t="shared" si="0"/>
        <v>0</v>
      </c>
    </row>
    <row r="31" spans="1:9" x14ac:dyDescent="0.25">
      <c r="A31" s="12" t="s">
        <v>17</v>
      </c>
      <c r="B31" s="5" t="s">
        <v>8</v>
      </c>
      <c r="C31" s="6">
        <v>10</v>
      </c>
      <c r="D31" s="7">
        <v>3497917000303</v>
      </c>
      <c r="E31" s="52">
        <v>1.3</v>
      </c>
      <c r="F31" s="11">
        <f t="shared" si="1"/>
        <v>13</v>
      </c>
      <c r="G31" s="46" t="s">
        <v>108</v>
      </c>
      <c r="H31" s="21"/>
      <c r="I31" s="3">
        <f t="shared" si="0"/>
        <v>0</v>
      </c>
    </row>
    <row r="32" spans="1:9" x14ac:dyDescent="0.25">
      <c r="A32" s="12" t="s">
        <v>18</v>
      </c>
      <c r="B32" s="5" t="s">
        <v>8</v>
      </c>
      <c r="C32" s="6">
        <v>10</v>
      </c>
      <c r="D32" s="7">
        <v>3497911123350</v>
      </c>
      <c r="E32" s="52">
        <v>1.3</v>
      </c>
      <c r="F32" s="11">
        <f t="shared" si="1"/>
        <v>13</v>
      </c>
      <c r="G32" s="46" t="s">
        <v>109</v>
      </c>
      <c r="H32" s="21"/>
      <c r="I32" s="3">
        <f t="shared" si="0"/>
        <v>0</v>
      </c>
    </row>
    <row r="33" spans="1:9" x14ac:dyDescent="0.25">
      <c r="A33" s="12" t="s">
        <v>19</v>
      </c>
      <c r="B33" s="5" t="s">
        <v>8</v>
      </c>
      <c r="C33" s="6">
        <v>10</v>
      </c>
      <c r="D33" s="7" t="s">
        <v>20</v>
      </c>
      <c r="E33" s="52">
        <v>1.3</v>
      </c>
      <c r="F33" s="11">
        <f t="shared" si="1"/>
        <v>13</v>
      </c>
      <c r="G33" s="46" t="s">
        <v>110</v>
      </c>
      <c r="H33" s="21"/>
      <c r="I33" s="3">
        <f t="shared" si="0"/>
        <v>0</v>
      </c>
    </row>
    <row r="34" spans="1:9" x14ac:dyDescent="0.25">
      <c r="A34" s="12" t="s">
        <v>21</v>
      </c>
      <c r="B34" s="5" t="s">
        <v>8</v>
      </c>
      <c r="C34" s="6">
        <v>10</v>
      </c>
      <c r="D34" s="7">
        <v>3497911101129</v>
      </c>
      <c r="E34" s="52">
        <v>1.3</v>
      </c>
      <c r="F34" s="11">
        <f t="shared" si="1"/>
        <v>13</v>
      </c>
      <c r="G34" s="46" t="s">
        <v>111</v>
      </c>
      <c r="H34" s="21"/>
      <c r="I34" s="3">
        <f t="shared" si="0"/>
        <v>0</v>
      </c>
    </row>
    <row r="35" spans="1:9" x14ac:dyDescent="0.25">
      <c r="A35" s="12" t="s">
        <v>22</v>
      </c>
      <c r="B35" s="5" t="s">
        <v>8</v>
      </c>
      <c r="C35" s="6">
        <v>10</v>
      </c>
      <c r="D35" s="7">
        <v>3497911105127</v>
      </c>
      <c r="E35" s="52">
        <v>1.3</v>
      </c>
      <c r="F35" s="11">
        <f t="shared" si="1"/>
        <v>13</v>
      </c>
      <c r="G35" s="46" t="s">
        <v>112</v>
      </c>
      <c r="H35" s="21"/>
      <c r="I35" s="3">
        <f t="shared" si="0"/>
        <v>0</v>
      </c>
    </row>
    <row r="36" spans="1:9" x14ac:dyDescent="0.25">
      <c r="A36" s="12" t="s">
        <v>23</v>
      </c>
      <c r="B36" s="5" t="s">
        <v>8</v>
      </c>
      <c r="C36" s="6">
        <v>10</v>
      </c>
      <c r="D36" s="7">
        <v>3497917000914</v>
      </c>
      <c r="E36" s="53">
        <v>1.4</v>
      </c>
      <c r="F36" s="11">
        <f t="shared" si="1"/>
        <v>14</v>
      </c>
      <c r="G36" s="46" t="s">
        <v>113</v>
      </c>
      <c r="H36" s="21"/>
      <c r="I36" s="3">
        <f t="shared" si="0"/>
        <v>0</v>
      </c>
    </row>
    <row r="37" spans="1:9" x14ac:dyDescent="0.25">
      <c r="A37" s="12" t="s">
        <v>24</v>
      </c>
      <c r="B37" s="5" t="s">
        <v>8</v>
      </c>
      <c r="C37" s="6">
        <v>10</v>
      </c>
      <c r="D37" s="7">
        <v>3497917002161</v>
      </c>
      <c r="E37" s="53">
        <v>1.4</v>
      </c>
      <c r="F37" s="11">
        <f t="shared" si="1"/>
        <v>14</v>
      </c>
      <c r="G37" s="46" t="s">
        <v>114</v>
      </c>
      <c r="H37" s="21"/>
      <c r="I37" s="3">
        <f t="shared" si="0"/>
        <v>0</v>
      </c>
    </row>
    <row r="38" spans="1:9" x14ac:dyDescent="0.25">
      <c r="A38" s="12" t="s">
        <v>25</v>
      </c>
      <c r="B38" s="5" t="s">
        <v>8</v>
      </c>
      <c r="C38" s="6">
        <v>10</v>
      </c>
      <c r="D38" s="7">
        <v>3497917002789</v>
      </c>
      <c r="E38" s="53">
        <v>1.4</v>
      </c>
      <c r="F38" s="11">
        <f t="shared" si="1"/>
        <v>14</v>
      </c>
      <c r="G38" s="46" t="s">
        <v>115</v>
      </c>
      <c r="H38" s="21"/>
      <c r="I38" s="3">
        <f t="shared" si="0"/>
        <v>0</v>
      </c>
    </row>
    <row r="39" spans="1:9" x14ac:dyDescent="0.25">
      <c r="A39" s="12" t="s">
        <v>26</v>
      </c>
      <c r="B39" s="5" t="s">
        <v>8</v>
      </c>
      <c r="C39" s="6">
        <v>10</v>
      </c>
      <c r="D39" s="7">
        <v>3497917001928</v>
      </c>
      <c r="E39" s="53">
        <v>1.4</v>
      </c>
      <c r="F39" s="11">
        <f t="shared" si="1"/>
        <v>14</v>
      </c>
      <c r="G39" s="46" t="s">
        <v>116</v>
      </c>
      <c r="H39" s="21"/>
      <c r="I39" s="3">
        <f t="shared" si="0"/>
        <v>0</v>
      </c>
    </row>
    <row r="40" spans="1:9" x14ac:dyDescent="0.25">
      <c r="A40" s="12" t="s">
        <v>27</v>
      </c>
      <c r="B40" s="5" t="s">
        <v>8</v>
      </c>
      <c r="C40" s="6">
        <v>10</v>
      </c>
      <c r="D40" s="7">
        <v>3497917001911</v>
      </c>
      <c r="E40" s="53">
        <v>1.4</v>
      </c>
      <c r="F40" s="11">
        <f t="shared" si="1"/>
        <v>14</v>
      </c>
      <c r="G40" s="46" t="s">
        <v>117</v>
      </c>
      <c r="H40" s="21"/>
      <c r="I40" s="3">
        <f t="shared" si="0"/>
        <v>0</v>
      </c>
    </row>
    <row r="41" spans="1:9" x14ac:dyDescent="0.25">
      <c r="A41" s="12" t="s">
        <v>28</v>
      </c>
      <c r="B41" s="5" t="s">
        <v>8</v>
      </c>
      <c r="C41" s="6">
        <v>10</v>
      </c>
      <c r="D41" s="7">
        <v>3497917000518</v>
      </c>
      <c r="E41" s="53">
        <v>1.4</v>
      </c>
      <c r="F41" s="11">
        <f t="shared" si="1"/>
        <v>14</v>
      </c>
      <c r="G41" s="46" t="s">
        <v>118</v>
      </c>
      <c r="H41" s="21"/>
      <c r="I41" s="3">
        <f t="shared" si="0"/>
        <v>0</v>
      </c>
    </row>
    <row r="42" spans="1:9" x14ac:dyDescent="0.25">
      <c r="A42" s="12" t="s">
        <v>29</v>
      </c>
      <c r="B42" s="5" t="s">
        <v>8</v>
      </c>
      <c r="C42" s="6">
        <v>10</v>
      </c>
      <c r="D42" s="7">
        <v>3497917000907</v>
      </c>
      <c r="E42" s="53">
        <v>1.4</v>
      </c>
      <c r="F42" s="11">
        <f t="shared" si="1"/>
        <v>14</v>
      </c>
      <c r="G42" s="46" t="s">
        <v>119</v>
      </c>
      <c r="H42" s="21"/>
      <c r="I42" s="3">
        <f t="shared" si="0"/>
        <v>0</v>
      </c>
    </row>
    <row r="43" spans="1:9" x14ac:dyDescent="0.25">
      <c r="A43" s="12" t="s">
        <v>30</v>
      </c>
      <c r="B43" s="5" t="s">
        <v>8</v>
      </c>
      <c r="C43" s="6">
        <v>10</v>
      </c>
      <c r="D43" s="7">
        <v>3497917001263</v>
      </c>
      <c r="E43" s="53">
        <v>1.4</v>
      </c>
      <c r="F43" s="11">
        <f t="shared" si="1"/>
        <v>14</v>
      </c>
      <c r="G43" s="46" t="s">
        <v>120</v>
      </c>
      <c r="H43" s="21"/>
      <c r="I43" s="3">
        <f t="shared" si="0"/>
        <v>0</v>
      </c>
    </row>
    <row r="44" spans="1:9" x14ac:dyDescent="0.25">
      <c r="A44" s="12" t="s">
        <v>31</v>
      </c>
      <c r="B44" s="5" t="s">
        <v>8</v>
      </c>
      <c r="C44" s="6">
        <v>10</v>
      </c>
      <c r="D44" s="7">
        <v>3497917002741</v>
      </c>
      <c r="E44" s="53">
        <v>1.4</v>
      </c>
      <c r="F44" s="11">
        <f t="shared" si="1"/>
        <v>14</v>
      </c>
      <c r="G44" s="46" t="s">
        <v>121</v>
      </c>
      <c r="H44" s="21"/>
      <c r="I44" s="3">
        <f t="shared" si="0"/>
        <v>0</v>
      </c>
    </row>
    <row r="45" spans="1:9" x14ac:dyDescent="0.25">
      <c r="A45" s="12" t="s">
        <v>32</v>
      </c>
      <c r="B45" s="5" t="s">
        <v>8</v>
      </c>
      <c r="C45" s="6">
        <v>10</v>
      </c>
      <c r="D45" s="7">
        <v>3497917002352</v>
      </c>
      <c r="E45" s="53">
        <v>1.4</v>
      </c>
      <c r="F45" s="11">
        <f t="shared" si="1"/>
        <v>14</v>
      </c>
      <c r="G45" s="46" t="s">
        <v>122</v>
      </c>
      <c r="H45" s="21"/>
      <c r="I45" s="3">
        <f t="shared" si="0"/>
        <v>0</v>
      </c>
    </row>
    <row r="46" spans="1:9" x14ac:dyDescent="0.25">
      <c r="A46" s="12" t="s">
        <v>33</v>
      </c>
      <c r="B46" s="5" t="s">
        <v>8</v>
      </c>
      <c r="C46" s="6">
        <v>10</v>
      </c>
      <c r="D46" s="7">
        <v>3497917001621</v>
      </c>
      <c r="E46" s="53">
        <v>1.4</v>
      </c>
      <c r="F46" s="11">
        <f t="shared" si="1"/>
        <v>14</v>
      </c>
      <c r="G46" s="46" t="s">
        <v>123</v>
      </c>
      <c r="H46" s="21"/>
      <c r="I46" s="3">
        <f t="shared" si="0"/>
        <v>0</v>
      </c>
    </row>
    <row r="47" spans="1:9" x14ac:dyDescent="0.25">
      <c r="A47" s="12" t="s">
        <v>34</v>
      </c>
      <c r="B47" s="5" t="s">
        <v>8</v>
      </c>
      <c r="C47" s="6">
        <v>10</v>
      </c>
      <c r="D47" s="7">
        <v>3497917000938</v>
      </c>
      <c r="E47" s="53">
        <v>1.45</v>
      </c>
      <c r="F47" s="11">
        <f t="shared" si="1"/>
        <v>14.5</v>
      </c>
      <c r="G47" s="46" t="s">
        <v>124</v>
      </c>
      <c r="H47" s="21"/>
      <c r="I47" s="3">
        <f t="shared" si="0"/>
        <v>0</v>
      </c>
    </row>
    <row r="48" spans="1:9" x14ac:dyDescent="0.25">
      <c r="A48" s="12" t="s">
        <v>35</v>
      </c>
      <c r="B48" s="5" t="s">
        <v>8</v>
      </c>
      <c r="C48" s="6">
        <v>10</v>
      </c>
      <c r="D48" s="7">
        <v>3497917003151</v>
      </c>
      <c r="E48" s="53">
        <v>1.45</v>
      </c>
      <c r="F48" s="11">
        <f t="shared" si="1"/>
        <v>14.5</v>
      </c>
      <c r="G48" s="46" t="s">
        <v>125</v>
      </c>
      <c r="H48" s="21"/>
      <c r="I48" s="3">
        <f t="shared" si="0"/>
        <v>0</v>
      </c>
    </row>
    <row r="49" spans="1:9" x14ac:dyDescent="0.25">
      <c r="A49" s="12" t="s">
        <v>36</v>
      </c>
      <c r="B49" s="5" t="s">
        <v>8</v>
      </c>
      <c r="C49" s="6">
        <v>10</v>
      </c>
      <c r="D49" s="7">
        <v>3497917003168</v>
      </c>
      <c r="E49" s="53">
        <v>1.45</v>
      </c>
      <c r="F49" s="11">
        <f t="shared" si="1"/>
        <v>14.5</v>
      </c>
      <c r="G49" s="46" t="s">
        <v>126</v>
      </c>
      <c r="H49" s="21"/>
      <c r="I49" s="3">
        <f t="shared" si="0"/>
        <v>0</v>
      </c>
    </row>
    <row r="50" spans="1:9" x14ac:dyDescent="0.25">
      <c r="A50" s="12" t="s">
        <v>37</v>
      </c>
      <c r="B50" s="5" t="s">
        <v>8</v>
      </c>
      <c r="C50" s="6">
        <v>10</v>
      </c>
      <c r="D50" s="7">
        <v>3497917003380</v>
      </c>
      <c r="E50" s="53">
        <v>1.45</v>
      </c>
      <c r="F50" s="11">
        <f t="shared" si="1"/>
        <v>14.5</v>
      </c>
      <c r="G50" s="46" t="s">
        <v>127</v>
      </c>
      <c r="H50" s="21"/>
      <c r="I50" s="3">
        <f t="shared" si="0"/>
        <v>0</v>
      </c>
    </row>
    <row r="51" spans="1:9" x14ac:dyDescent="0.25">
      <c r="A51" s="12" t="s">
        <v>38</v>
      </c>
      <c r="B51" s="5" t="s">
        <v>8</v>
      </c>
      <c r="C51" s="6">
        <v>10</v>
      </c>
      <c r="D51" s="7">
        <v>3497917003540</v>
      </c>
      <c r="E51" s="53">
        <v>1.45</v>
      </c>
      <c r="F51" s="11">
        <f t="shared" si="1"/>
        <v>14.5</v>
      </c>
      <c r="G51" s="46" t="s">
        <v>128</v>
      </c>
      <c r="H51" s="21"/>
      <c r="I51" s="3">
        <f t="shared" si="0"/>
        <v>0</v>
      </c>
    </row>
    <row r="52" spans="1:9" x14ac:dyDescent="0.25">
      <c r="A52" s="12" t="s">
        <v>39</v>
      </c>
      <c r="B52" s="5" t="s">
        <v>8</v>
      </c>
      <c r="C52" s="6">
        <v>10</v>
      </c>
      <c r="D52" s="7">
        <v>3497917003564</v>
      </c>
      <c r="E52" s="53">
        <v>1.45</v>
      </c>
      <c r="F52" s="11">
        <f t="shared" si="1"/>
        <v>14.5</v>
      </c>
      <c r="G52" s="46" t="s">
        <v>129</v>
      </c>
      <c r="H52" s="21"/>
      <c r="I52" s="3">
        <f t="shared" si="0"/>
        <v>0</v>
      </c>
    </row>
    <row r="53" spans="1:9" x14ac:dyDescent="0.25">
      <c r="A53" s="12" t="s">
        <v>40</v>
      </c>
      <c r="B53" s="5" t="s">
        <v>8</v>
      </c>
      <c r="C53" s="6">
        <v>10</v>
      </c>
      <c r="D53" s="7">
        <v>3497917003588</v>
      </c>
      <c r="E53" s="53">
        <v>1.45</v>
      </c>
      <c r="F53" s="11">
        <f t="shared" si="1"/>
        <v>14.5</v>
      </c>
      <c r="G53" s="46" t="s">
        <v>130</v>
      </c>
      <c r="H53" s="21"/>
      <c r="I53" s="3">
        <f t="shared" si="0"/>
        <v>0</v>
      </c>
    </row>
    <row r="54" spans="1:9" x14ac:dyDescent="0.25">
      <c r="A54" s="12" t="s">
        <v>41</v>
      </c>
      <c r="B54" s="5" t="s">
        <v>8</v>
      </c>
      <c r="C54" s="6">
        <v>10</v>
      </c>
      <c r="D54" s="7">
        <v>3497917003823</v>
      </c>
      <c r="E54" s="53">
        <v>1.45</v>
      </c>
      <c r="F54" s="11">
        <f t="shared" si="1"/>
        <v>14.5</v>
      </c>
      <c r="G54" s="46" t="s">
        <v>131</v>
      </c>
      <c r="H54" s="21"/>
      <c r="I54" s="3">
        <f t="shared" si="0"/>
        <v>0</v>
      </c>
    </row>
    <row r="55" spans="1:9" x14ac:dyDescent="0.25">
      <c r="A55" s="12" t="s">
        <v>42</v>
      </c>
      <c r="B55" s="5" t="s">
        <v>8</v>
      </c>
      <c r="C55" s="6">
        <v>10</v>
      </c>
      <c r="D55" s="7">
        <v>3497917003809</v>
      </c>
      <c r="E55" s="53">
        <v>1.45</v>
      </c>
      <c r="F55" s="11">
        <f t="shared" si="1"/>
        <v>14.5</v>
      </c>
      <c r="G55" s="46" t="s">
        <v>132</v>
      </c>
      <c r="H55" s="21"/>
      <c r="I55" s="3">
        <f t="shared" si="0"/>
        <v>0</v>
      </c>
    </row>
    <row r="56" spans="1:9" x14ac:dyDescent="0.25">
      <c r="A56" s="12" t="s">
        <v>43</v>
      </c>
      <c r="B56" s="5" t="s">
        <v>8</v>
      </c>
      <c r="C56" s="6">
        <v>10</v>
      </c>
      <c r="D56" s="7">
        <v>3497917003816</v>
      </c>
      <c r="E56" s="53">
        <v>1.45</v>
      </c>
      <c r="F56" s="11">
        <f t="shared" si="1"/>
        <v>14.5</v>
      </c>
      <c r="G56" s="46" t="s">
        <v>133</v>
      </c>
      <c r="H56" s="21"/>
      <c r="I56" s="3">
        <f t="shared" si="0"/>
        <v>0</v>
      </c>
    </row>
    <row r="57" spans="1:9" x14ac:dyDescent="0.25">
      <c r="A57" s="12" t="s">
        <v>44</v>
      </c>
      <c r="B57" s="5" t="s">
        <v>8</v>
      </c>
      <c r="C57" s="6">
        <v>10</v>
      </c>
      <c r="D57" s="7">
        <v>3497917003854</v>
      </c>
      <c r="E57" s="53">
        <v>1.45</v>
      </c>
      <c r="F57" s="11">
        <f t="shared" si="1"/>
        <v>14.5</v>
      </c>
      <c r="G57" s="46" t="s">
        <v>134</v>
      </c>
      <c r="H57" s="21"/>
      <c r="I57" s="3">
        <f t="shared" si="0"/>
        <v>0</v>
      </c>
    </row>
    <row r="58" spans="1:9" x14ac:dyDescent="0.25">
      <c r="A58" s="12" t="s">
        <v>45</v>
      </c>
      <c r="B58" s="5" t="s">
        <v>8</v>
      </c>
      <c r="C58" s="6">
        <v>10</v>
      </c>
      <c r="D58" s="7">
        <v>3497917003830</v>
      </c>
      <c r="E58" s="53">
        <v>1.45</v>
      </c>
      <c r="F58" s="11">
        <f t="shared" si="1"/>
        <v>14.5</v>
      </c>
      <c r="G58" s="46" t="s">
        <v>135</v>
      </c>
      <c r="H58" s="21"/>
      <c r="I58" s="3">
        <f t="shared" si="0"/>
        <v>0</v>
      </c>
    </row>
    <row r="59" spans="1:9" x14ac:dyDescent="0.25">
      <c r="A59" s="12" t="s">
        <v>46</v>
      </c>
      <c r="B59" s="5" t="s">
        <v>8</v>
      </c>
      <c r="C59" s="6">
        <v>10</v>
      </c>
      <c r="D59" s="7">
        <v>3497917003847</v>
      </c>
      <c r="E59" s="53">
        <v>1.45</v>
      </c>
      <c r="F59" s="11">
        <f t="shared" si="1"/>
        <v>14.5</v>
      </c>
      <c r="G59" s="46" t="s">
        <v>136</v>
      </c>
      <c r="H59" s="21"/>
      <c r="I59" s="3">
        <f t="shared" si="0"/>
        <v>0</v>
      </c>
    </row>
    <row r="60" spans="1:9" ht="15.75" thickBot="1" x14ac:dyDescent="0.3">
      <c r="A60" s="15"/>
      <c r="B60" s="5"/>
      <c r="C60" s="6"/>
      <c r="D60" s="7"/>
      <c r="E60" s="8"/>
      <c r="F60" s="11"/>
      <c r="G60" s="47"/>
      <c r="H60" s="8"/>
      <c r="I60" s="3"/>
    </row>
    <row r="61" spans="1:9" ht="15.75" thickBot="1" x14ac:dyDescent="0.3">
      <c r="A61" s="16" t="s">
        <v>95</v>
      </c>
      <c r="B61" s="17"/>
      <c r="C61" s="6"/>
      <c r="D61" s="7"/>
      <c r="E61" s="8"/>
      <c r="F61" s="11"/>
      <c r="G61" s="47"/>
      <c r="H61" s="8"/>
      <c r="I61" s="3"/>
    </row>
    <row r="62" spans="1:9" x14ac:dyDescent="0.25">
      <c r="A62" s="38" t="s">
        <v>76</v>
      </c>
      <c r="B62" s="5" t="s">
        <v>8</v>
      </c>
      <c r="C62" s="6">
        <v>10</v>
      </c>
      <c r="D62" s="7">
        <v>3497917005094</v>
      </c>
      <c r="E62" s="52">
        <v>1.5</v>
      </c>
      <c r="F62" s="11">
        <f t="shared" ref="F62:F70" si="2">E62*C62</f>
        <v>15</v>
      </c>
      <c r="G62" s="48" t="s">
        <v>145</v>
      </c>
      <c r="H62" s="21"/>
      <c r="I62" s="3">
        <f t="shared" si="0"/>
        <v>0</v>
      </c>
    </row>
    <row r="63" spans="1:9" x14ac:dyDescent="0.25">
      <c r="A63" s="25" t="s">
        <v>47</v>
      </c>
      <c r="B63" s="5" t="s">
        <v>8</v>
      </c>
      <c r="C63" s="6">
        <v>10</v>
      </c>
      <c r="D63" s="13">
        <v>3497917004226</v>
      </c>
      <c r="E63" s="52">
        <v>1.5</v>
      </c>
      <c r="F63" s="11">
        <f t="shared" si="2"/>
        <v>15</v>
      </c>
      <c r="G63" s="46" t="s">
        <v>137</v>
      </c>
      <c r="H63" s="21"/>
      <c r="I63" s="3">
        <f t="shared" si="0"/>
        <v>0</v>
      </c>
    </row>
    <row r="64" spans="1:9" x14ac:dyDescent="0.25">
      <c r="A64" s="25" t="s">
        <v>48</v>
      </c>
      <c r="B64" s="5" t="s">
        <v>8</v>
      </c>
      <c r="C64" s="6">
        <v>10</v>
      </c>
      <c r="D64" s="7">
        <v>3497917004233</v>
      </c>
      <c r="E64" s="52">
        <v>1.5</v>
      </c>
      <c r="F64" s="11">
        <f t="shared" si="2"/>
        <v>15</v>
      </c>
      <c r="G64" s="46" t="s">
        <v>138</v>
      </c>
      <c r="H64" s="21"/>
      <c r="I64" s="3">
        <f t="shared" si="0"/>
        <v>0</v>
      </c>
    </row>
    <row r="65" spans="1:9" x14ac:dyDescent="0.25">
      <c r="A65" s="25" t="s">
        <v>49</v>
      </c>
      <c r="B65" s="5" t="s">
        <v>8</v>
      </c>
      <c r="C65" s="6">
        <v>10</v>
      </c>
      <c r="D65" s="7">
        <v>3497917004325</v>
      </c>
      <c r="E65" s="52">
        <v>1.5</v>
      </c>
      <c r="F65" s="11">
        <f t="shared" si="2"/>
        <v>15</v>
      </c>
      <c r="G65" s="49" t="s">
        <v>139</v>
      </c>
      <c r="H65" s="21"/>
      <c r="I65" s="3">
        <f t="shared" si="0"/>
        <v>0</v>
      </c>
    </row>
    <row r="66" spans="1:9" x14ac:dyDescent="0.25">
      <c r="A66" s="25" t="s">
        <v>50</v>
      </c>
      <c r="B66" s="5" t="s">
        <v>8</v>
      </c>
      <c r="C66" s="6">
        <v>10</v>
      </c>
      <c r="D66" s="7">
        <v>3497917004257</v>
      </c>
      <c r="E66" s="52">
        <v>1.5</v>
      </c>
      <c r="F66" s="11">
        <f t="shared" si="2"/>
        <v>15</v>
      </c>
      <c r="G66" s="46" t="s">
        <v>140</v>
      </c>
      <c r="H66" s="21"/>
      <c r="I66" s="3">
        <f t="shared" si="0"/>
        <v>0</v>
      </c>
    </row>
    <row r="67" spans="1:9" x14ac:dyDescent="0.25">
      <c r="A67" s="25" t="s">
        <v>51</v>
      </c>
      <c r="B67" s="5" t="s">
        <v>8</v>
      </c>
      <c r="C67" s="6">
        <v>10</v>
      </c>
      <c r="D67" s="7">
        <v>3497917004264</v>
      </c>
      <c r="E67" s="52">
        <v>1.5</v>
      </c>
      <c r="F67" s="11">
        <f t="shared" si="2"/>
        <v>15</v>
      </c>
      <c r="G67" s="46" t="s">
        <v>141</v>
      </c>
      <c r="H67" s="21"/>
      <c r="I67" s="3">
        <f t="shared" si="0"/>
        <v>0</v>
      </c>
    </row>
    <row r="68" spans="1:9" x14ac:dyDescent="0.25">
      <c r="A68" s="25" t="s">
        <v>52</v>
      </c>
      <c r="B68" s="5" t="s">
        <v>8</v>
      </c>
      <c r="C68" s="6">
        <v>10</v>
      </c>
      <c r="D68" s="7">
        <v>3497917004271</v>
      </c>
      <c r="E68" s="52">
        <v>1.5</v>
      </c>
      <c r="F68" s="11">
        <f t="shared" si="2"/>
        <v>15</v>
      </c>
      <c r="G68" s="46" t="s">
        <v>142</v>
      </c>
      <c r="H68" s="21"/>
      <c r="I68" s="3">
        <f t="shared" si="0"/>
        <v>0</v>
      </c>
    </row>
    <row r="69" spans="1:9" x14ac:dyDescent="0.25">
      <c r="A69" s="26" t="s">
        <v>53</v>
      </c>
      <c r="B69" s="5" t="s">
        <v>8</v>
      </c>
      <c r="C69" s="6">
        <v>10</v>
      </c>
      <c r="D69" s="7">
        <v>3497917004240</v>
      </c>
      <c r="E69" s="52">
        <v>2.7</v>
      </c>
      <c r="F69" s="11">
        <f t="shared" si="2"/>
        <v>27</v>
      </c>
      <c r="G69" s="46" t="s">
        <v>143</v>
      </c>
      <c r="H69" s="21"/>
      <c r="I69" s="3">
        <f t="shared" si="0"/>
        <v>0</v>
      </c>
    </row>
    <row r="70" spans="1:9" x14ac:dyDescent="0.25">
      <c r="A70" s="26" t="s">
        <v>54</v>
      </c>
      <c r="B70" s="5" t="s">
        <v>8</v>
      </c>
      <c r="C70" s="6">
        <v>10</v>
      </c>
      <c r="D70" s="7">
        <v>3497917004738</v>
      </c>
      <c r="E70" s="52">
        <v>2.7</v>
      </c>
      <c r="F70" s="11">
        <f t="shared" si="2"/>
        <v>27</v>
      </c>
      <c r="G70" s="46" t="s">
        <v>144</v>
      </c>
      <c r="H70" s="21"/>
      <c r="I70" s="3">
        <f t="shared" si="0"/>
        <v>0</v>
      </c>
    </row>
    <row r="71" spans="1:9" x14ac:dyDescent="0.25">
      <c r="A71" s="36"/>
      <c r="B71" s="5"/>
      <c r="C71" s="6"/>
      <c r="D71" s="7"/>
      <c r="E71" s="8"/>
      <c r="F71" s="9"/>
      <c r="G71" s="45"/>
      <c r="H71" s="8"/>
      <c r="I71" s="3"/>
    </row>
    <row r="72" spans="1:9" ht="15.75" thickBot="1" x14ac:dyDescent="0.3">
      <c r="A72" s="42" t="s">
        <v>86</v>
      </c>
      <c r="B72" s="43"/>
      <c r="C72" s="6"/>
      <c r="D72" s="7"/>
      <c r="E72" s="31"/>
      <c r="F72" s="9"/>
      <c r="G72" s="45"/>
      <c r="H72" s="8"/>
      <c r="I72" s="3"/>
    </row>
    <row r="73" spans="1:9" x14ac:dyDescent="0.25">
      <c r="A73" s="34" t="s">
        <v>87</v>
      </c>
      <c r="B73" s="5" t="s">
        <v>61</v>
      </c>
      <c r="C73" s="6">
        <v>12</v>
      </c>
      <c r="D73" s="13">
        <v>3497917004288</v>
      </c>
      <c r="E73" s="55">
        <v>2.2000000000000002</v>
      </c>
      <c r="F73" s="11">
        <f>E73*C73</f>
        <v>26.400000000000002</v>
      </c>
      <c r="G73" s="46" t="s">
        <v>88</v>
      </c>
      <c r="H73" s="21"/>
      <c r="I73" s="3">
        <f t="shared" ref="I72:I94" si="3">H73*F73</f>
        <v>0</v>
      </c>
    </row>
    <row r="74" spans="1:9" x14ac:dyDescent="0.25">
      <c r="A74" s="29" t="s">
        <v>89</v>
      </c>
      <c r="B74" s="5" t="s">
        <v>61</v>
      </c>
      <c r="C74" s="6">
        <v>12</v>
      </c>
      <c r="D74" s="30">
        <v>3497917004301</v>
      </c>
      <c r="E74" s="55">
        <v>2.2000000000000002</v>
      </c>
      <c r="F74" s="11">
        <f>E74*C74</f>
        <v>26.400000000000002</v>
      </c>
      <c r="G74" s="46" t="s">
        <v>90</v>
      </c>
      <c r="H74" s="21"/>
      <c r="I74" s="3">
        <f t="shared" si="3"/>
        <v>0</v>
      </c>
    </row>
    <row r="75" spans="1:9" x14ac:dyDescent="0.25">
      <c r="A75" s="29" t="s">
        <v>91</v>
      </c>
      <c r="B75" s="5" t="s">
        <v>61</v>
      </c>
      <c r="C75" s="6">
        <v>12</v>
      </c>
      <c r="D75" s="7">
        <v>3497917004318</v>
      </c>
      <c r="E75" s="55">
        <v>2.2000000000000002</v>
      </c>
      <c r="F75" s="11">
        <f>E75*C75</f>
        <v>26.400000000000002</v>
      </c>
      <c r="G75" s="46" t="s">
        <v>92</v>
      </c>
      <c r="H75" s="21"/>
      <c r="I75" s="3">
        <f t="shared" si="3"/>
        <v>0</v>
      </c>
    </row>
    <row r="76" spans="1:9" x14ac:dyDescent="0.25">
      <c r="A76" s="29" t="s">
        <v>93</v>
      </c>
      <c r="B76" s="5" t="s">
        <v>61</v>
      </c>
      <c r="C76" s="6">
        <v>12</v>
      </c>
      <c r="D76" s="7">
        <v>3497917004295</v>
      </c>
      <c r="E76" s="55">
        <v>2.2000000000000002</v>
      </c>
      <c r="F76" s="11">
        <f>E76*C76</f>
        <v>26.400000000000002</v>
      </c>
      <c r="G76" s="46" t="s">
        <v>94</v>
      </c>
      <c r="H76" s="21"/>
      <c r="I76" s="3">
        <f t="shared" si="3"/>
        <v>0</v>
      </c>
    </row>
    <row r="77" spans="1:9" ht="15.75" thickBot="1" x14ac:dyDescent="0.3">
      <c r="A77" s="32"/>
      <c r="B77" s="5"/>
      <c r="C77" s="6"/>
      <c r="D77" s="7"/>
      <c r="E77" s="31"/>
      <c r="F77" s="9"/>
      <c r="G77" s="45"/>
      <c r="H77" s="8"/>
      <c r="I77" s="3"/>
    </row>
    <row r="78" spans="1:9" ht="15.75" thickBot="1" x14ac:dyDescent="0.3">
      <c r="A78" s="33" t="s">
        <v>55</v>
      </c>
      <c r="B78" s="17"/>
      <c r="C78" s="6"/>
      <c r="D78" s="7"/>
      <c r="E78" s="8"/>
      <c r="F78" s="9"/>
      <c r="G78" s="45"/>
      <c r="H78" s="8"/>
      <c r="I78" s="3"/>
    </row>
    <row r="79" spans="1:9" x14ac:dyDescent="0.25">
      <c r="A79" s="2" t="s">
        <v>56</v>
      </c>
      <c r="B79" s="5" t="s">
        <v>57</v>
      </c>
      <c r="C79" s="6">
        <v>10</v>
      </c>
      <c r="D79" s="14">
        <v>3497917003618</v>
      </c>
      <c r="E79" s="53">
        <v>1.75</v>
      </c>
      <c r="F79" s="11">
        <f>E79*C79</f>
        <v>17.5</v>
      </c>
      <c r="G79" s="51" t="s">
        <v>146</v>
      </c>
      <c r="H79" s="21"/>
      <c r="I79" s="3">
        <f t="shared" si="3"/>
        <v>0</v>
      </c>
    </row>
    <row r="80" spans="1:9" x14ac:dyDescent="0.25">
      <c r="A80" s="12" t="s">
        <v>156</v>
      </c>
      <c r="B80" s="5" t="s">
        <v>57</v>
      </c>
      <c r="C80" s="6">
        <v>10</v>
      </c>
      <c r="D80" s="7">
        <v>3497917003694</v>
      </c>
      <c r="E80" s="53">
        <v>1.95</v>
      </c>
      <c r="F80" s="11">
        <f>E80*C80</f>
        <v>19.5</v>
      </c>
      <c r="G80" s="46" t="s">
        <v>147</v>
      </c>
      <c r="H80" s="21"/>
      <c r="I80" s="3">
        <f t="shared" si="3"/>
        <v>0</v>
      </c>
    </row>
    <row r="81" spans="1:9" ht="15.75" thickBot="1" x14ac:dyDescent="0.3">
      <c r="A81" s="15" t="s">
        <v>58</v>
      </c>
      <c r="B81" s="5"/>
      <c r="C81" s="6"/>
      <c r="D81" s="7"/>
      <c r="E81" s="8"/>
      <c r="F81" s="9"/>
      <c r="G81" s="45"/>
      <c r="H81" s="8"/>
      <c r="I81" s="3"/>
    </row>
    <row r="82" spans="1:9" ht="15.75" thickBot="1" x14ac:dyDescent="0.3">
      <c r="A82" s="16" t="s">
        <v>59</v>
      </c>
      <c r="B82" s="17"/>
      <c r="C82" s="6"/>
      <c r="D82" s="7"/>
      <c r="E82" s="8"/>
      <c r="F82" s="9"/>
      <c r="G82" s="45"/>
      <c r="H82" s="8"/>
      <c r="I82" s="3"/>
    </row>
    <row r="83" spans="1:9" x14ac:dyDescent="0.25">
      <c r="A83" s="2" t="s">
        <v>60</v>
      </c>
      <c r="B83" s="5" t="s">
        <v>61</v>
      </c>
      <c r="C83" s="6">
        <v>10</v>
      </c>
      <c r="D83" s="7">
        <v>3497914000009</v>
      </c>
      <c r="E83" s="53">
        <v>1.7</v>
      </c>
      <c r="F83" s="11">
        <f>E83*C83</f>
        <v>17</v>
      </c>
      <c r="G83" s="46" t="s">
        <v>148</v>
      </c>
      <c r="H83" s="21"/>
      <c r="I83" s="3">
        <f t="shared" si="3"/>
        <v>0</v>
      </c>
    </row>
    <row r="84" spans="1:9" x14ac:dyDescent="0.25">
      <c r="A84" s="12" t="s">
        <v>62</v>
      </c>
      <c r="B84" s="5" t="s">
        <v>61</v>
      </c>
      <c r="C84" s="6">
        <v>10</v>
      </c>
      <c r="D84" s="7">
        <v>3497917000792</v>
      </c>
      <c r="E84" s="53">
        <v>1.9</v>
      </c>
      <c r="F84" s="11">
        <f>E84*C84</f>
        <v>19</v>
      </c>
      <c r="G84" s="46" t="s">
        <v>149</v>
      </c>
      <c r="H84" s="21"/>
      <c r="I84" s="3">
        <f t="shared" si="3"/>
        <v>0</v>
      </c>
    </row>
    <row r="85" spans="1:9" x14ac:dyDescent="0.25">
      <c r="A85" s="18"/>
      <c r="B85" s="19"/>
      <c r="C85" s="19"/>
      <c r="D85" s="20"/>
      <c r="E85" s="8"/>
      <c r="F85" s="9"/>
      <c r="G85" s="45"/>
      <c r="H85" s="8"/>
      <c r="I85" s="3"/>
    </row>
    <row r="86" spans="1:9" x14ac:dyDescent="0.25">
      <c r="A86" s="4" t="s">
        <v>63</v>
      </c>
      <c r="B86" s="5"/>
      <c r="C86" s="6"/>
      <c r="D86" s="7"/>
      <c r="E86" s="8"/>
      <c r="F86" s="9"/>
      <c r="G86" s="45"/>
      <c r="H86" s="8"/>
      <c r="I86" s="3"/>
    </row>
    <row r="87" spans="1:9" x14ac:dyDescent="0.25">
      <c r="A87" s="12" t="s">
        <v>97</v>
      </c>
      <c r="B87" s="5" t="s">
        <v>78</v>
      </c>
      <c r="C87" s="6">
        <v>10</v>
      </c>
      <c r="D87" s="7">
        <v>3497917002721</v>
      </c>
      <c r="E87" s="53">
        <v>1.2</v>
      </c>
      <c r="F87" s="11">
        <f>E87*C87</f>
        <v>12</v>
      </c>
      <c r="G87" s="46" t="s">
        <v>150</v>
      </c>
      <c r="H87" s="21"/>
      <c r="I87" s="3">
        <f t="shared" ref="I87" si="4">H87*F87</f>
        <v>0</v>
      </c>
    </row>
    <row r="88" spans="1:9" x14ac:dyDescent="0.25">
      <c r="A88" s="12" t="s">
        <v>64</v>
      </c>
      <c r="B88" s="5" t="s">
        <v>57</v>
      </c>
      <c r="C88" s="6">
        <v>10</v>
      </c>
      <c r="D88" s="7">
        <v>3497917002451</v>
      </c>
      <c r="E88" s="53">
        <v>2.6</v>
      </c>
      <c r="F88" s="11">
        <f>E88*C88</f>
        <v>26</v>
      </c>
      <c r="G88" s="46" t="s">
        <v>151</v>
      </c>
      <c r="H88" s="21"/>
      <c r="I88" s="3">
        <f t="shared" si="3"/>
        <v>0</v>
      </c>
    </row>
    <row r="89" spans="1:9" x14ac:dyDescent="0.25">
      <c r="A89" s="12" t="s">
        <v>65</v>
      </c>
      <c r="B89" s="5" t="s">
        <v>57</v>
      </c>
      <c r="C89" s="6">
        <v>10</v>
      </c>
      <c r="D89" s="7">
        <v>3497917002475</v>
      </c>
      <c r="E89" s="53">
        <v>2.65</v>
      </c>
      <c r="F89" s="11">
        <f>E89*C89</f>
        <v>26.5</v>
      </c>
      <c r="G89" s="50" t="s">
        <v>152</v>
      </c>
      <c r="H89" s="21"/>
      <c r="I89" s="3">
        <f t="shared" si="3"/>
        <v>0</v>
      </c>
    </row>
    <row r="90" spans="1:9" ht="15.75" thickBot="1" x14ac:dyDescent="0.3">
      <c r="A90" s="15"/>
      <c r="B90" s="5"/>
      <c r="C90" s="6"/>
      <c r="D90" s="7"/>
      <c r="E90" s="8"/>
      <c r="F90" s="9"/>
      <c r="G90" s="45"/>
      <c r="H90" s="8"/>
      <c r="I90" s="3"/>
    </row>
    <row r="91" spans="1:9" ht="15.75" thickBot="1" x14ac:dyDescent="0.3">
      <c r="A91" s="16" t="s">
        <v>66</v>
      </c>
      <c r="B91" s="17"/>
      <c r="C91" s="6"/>
      <c r="D91" s="7"/>
      <c r="E91" s="8"/>
      <c r="F91" s="9"/>
      <c r="G91" s="45"/>
      <c r="H91" s="8"/>
      <c r="I91" s="3"/>
    </row>
    <row r="92" spans="1:9" x14ac:dyDescent="0.25">
      <c r="A92" s="2" t="s">
        <v>67</v>
      </c>
      <c r="B92" s="5" t="s">
        <v>68</v>
      </c>
      <c r="C92" s="6">
        <v>8</v>
      </c>
      <c r="D92" s="7">
        <v>3760326670079</v>
      </c>
      <c r="E92" s="53">
        <v>2.4</v>
      </c>
      <c r="F92" s="11">
        <f>E92*C92</f>
        <v>19.2</v>
      </c>
      <c r="G92" s="46" t="s">
        <v>153</v>
      </c>
      <c r="H92" s="21"/>
      <c r="I92" s="3">
        <f t="shared" si="3"/>
        <v>0</v>
      </c>
    </row>
    <row r="93" spans="1:9" x14ac:dyDescent="0.25">
      <c r="A93" s="12" t="s">
        <v>69</v>
      </c>
      <c r="B93" s="5" t="s">
        <v>68</v>
      </c>
      <c r="C93" s="6">
        <v>8</v>
      </c>
      <c r="D93" s="7">
        <v>3760326670093</v>
      </c>
      <c r="E93" s="53">
        <v>2.5</v>
      </c>
      <c r="F93" s="11">
        <f>E93*C93</f>
        <v>20</v>
      </c>
      <c r="G93" s="46" t="s">
        <v>154</v>
      </c>
      <c r="H93" s="21"/>
      <c r="I93" s="3">
        <f t="shared" si="3"/>
        <v>0</v>
      </c>
    </row>
    <row r="94" spans="1:9" ht="15.75" thickBot="1" x14ac:dyDescent="0.3">
      <c r="A94" s="12" t="s">
        <v>70</v>
      </c>
      <c r="B94" s="5" t="s">
        <v>68</v>
      </c>
      <c r="C94" s="6">
        <v>8</v>
      </c>
      <c r="D94" s="7">
        <v>3760326670086</v>
      </c>
      <c r="E94" s="53">
        <v>2.65</v>
      </c>
      <c r="F94" s="40">
        <f>E94*C94</f>
        <v>21.2</v>
      </c>
      <c r="G94" s="46" t="s">
        <v>155</v>
      </c>
      <c r="H94" s="22"/>
      <c r="I94" s="3">
        <f t="shared" si="3"/>
        <v>0</v>
      </c>
    </row>
    <row r="95" spans="1:9" ht="18" thickBot="1" x14ac:dyDescent="0.35">
      <c r="F95" s="41" t="s">
        <v>96</v>
      </c>
      <c r="G95" s="44"/>
      <c r="H95" s="23">
        <f>SUM(H11:H94)</f>
        <v>0</v>
      </c>
      <c r="I95" s="24">
        <f>SUM(I11:I94)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Berthon [KARL ET LEON]</dc:creator>
  <cp:lastModifiedBy>Raphael Berthon [KARL ET LEON]</cp:lastModifiedBy>
  <dcterms:created xsi:type="dcterms:W3CDTF">2026-03-04T17:01:12Z</dcterms:created>
  <dcterms:modified xsi:type="dcterms:W3CDTF">2026-04-28T21:25:21Z</dcterms:modified>
</cp:coreProperties>
</file>