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karletleon.sharepoint.com/sites/Contact/Documents partages/Bons de commandes/"/>
    </mc:Choice>
  </mc:AlternateContent>
  <xr:revisionPtr revIDLastSave="0" documentId="8_{E2F773B2-2C1A-4461-B9D1-2805D1192A40}" xr6:coauthVersionLast="47" xr6:coauthVersionMax="47" xr10:uidLastSave="{00000000-0000-0000-0000-000000000000}"/>
  <bookViews>
    <workbookView xWindow="-120" yWindow="-120" windowWidth="29040" windowHeight="15720" xr2:uid="{135A3086-8838-409A-8ECB-800E05F7AB7C}"/>
  </bookViews>
  <sheets>
    <sheet name="Feuil1" sheetId="1" r:id="rId1"/>
  </sheets>
  <definedNames>
    <definedName name="_xlnm.Print_Area" localSheetId="0">Feuil1!$A$1:$M$90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20" i="1"/>
  <c r="K26" i="1"/>
  <c r="K27" i="1"/>
  <c r="K62" i="1"/>
  <c r="K72" i="1"/>
  <c r="K76" i="1"/>
  <c r="K80" i="1"/>
  <c r="K84" i="1"/>
  <c r="K85" i="1"/>
  <c r="K89" i="1"/>
  <c r="H82" i="1"/>
  <c r="K81" i="1" s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16" i="1"/>
  <c r="J90" i="1"/>
  <c r="F17" i="1"/>
  <c r="F18" i="1"/>
  <c r="F19" i="1"/>
  <c r="F22" i="1"/>
  <c r="F23" i="1"/>
  <c r="F24" i="1"/>
  <c r="F25" i="1"/>
  <c r="F26" i="1"/>
  <c r="H26" i="1" s="1"/>
  <c r="F29" i="1"/>
  <c r="H29" i="1" s="1"/>
  <c r="G29" i="1" s="1"/>
  <c r="F30" i="1"/>
  <c r="H30" i="1" s="1"/>
  <c r="G30" i="1" s="1"/>
  <c r="F31" i="1"/>
  <c r="H31" i="1" s="1"/>
  <c r="F32" i="1"/>
  <c r="H32" i="1" s="1"/>
  <c r="G32" i="1" s="1"/>
  <c r="F33" i="1"/>
  <c r="F34" i="1"/>
  <c r="F35" i="1"/>
  <c r="F36" i="1"/>
  <c r="F37" i="1"/>
  <c r="F38" i="1"/>
  <c r="F39" i="1"/>
  <c r="F40" i="1"/>
  <c r="H40" i="1" s="1"/>
  <c r="G40" i="1" s="1"/>
  <c r="F41" i="1"/>
  <c r="H41" i="1" s="1"/>
  <c r="F42" i="1"/>
  <c r="H42" i="1" s="1"/>
  <c r="F43" i="1"/>
  <c r="H43" i="1" s="1"/>
  <c r="F44" i="1"/>
  <c r="H44" i="1" s="1"/>
  <c r="F45" i="1"/>
  <c r="F46" i="1"/>
  <c r="F47" i="1"/>
  <c r="F48" i="1"/>
  <c r="F49" i="1"/>
  <c r="F50" i="1"/>
  <c r="F51" i="1"/>
  <c r="F52" i="1"/>
  <c r="H52" i="1" s="1"/>
  <c r="G52" i="1" s="1"/>
  <c r="F53" i="1"/>
  <c r="H53" i="1" s="1"/>
  <c r="F54" i="1"/>
  <c r="H54" i="1" s="1"/>
  <c r="F55" i="1"/>
  <c r="H55" i="1" s="1"/>
  <c r="G55" i="1" s="1"/>
  <c r="F56" i="1"/>
  <c r="H56" i="1" s="1"/>
  <c r="F57" i="1"/>
  <c r="F58" i="1"/>
  <c r="F59" i="1"/>
  <c r="F60" i="1"/>
  <c r="F61" i="1"/>
  <c r="F62" i="1"/>
  <c r="F65" i="1"/>
  <c r="F66" i="1"/>
  <c r="H66" i="1" s="1"/>
  <c r="F67" i="1"/>
  <c r="H67" i="1" s="1"/>
  <c r="F68" i="1"/>
  <c r="H68" i="1" s="1"/>
  <c r="F69" i="1"/>
  <c r="H69" i="1" s="1"/>
  <c r="F70" i="1"/>
  <c r="H70" i="1" s="1"/>
  <c r="F71" i="1"/>
  <c r="F72" i="1"/>
  <c r="F75" i="1"/>
  <c r="F76" i="1"/>
  <c r="F79" i="1"/>
  <c r="F80" i="1"/>
  <c r="F83" i="1"/>
  <c r="F84" i="1"/>
  <c r="H84" i="1" s="1"/>
  <c r="G84" i="1" s="1"/>
  <c r="F87" i="1"/>
  <c r="H87" i="1" s="1"/>
  <c r="G87" i="1" s="1"/>
  <c r="F88" i="1"/>
  <c r="H88" i="1" s="1"/>
  <c r="F89" i="1"/>
  <c r="H89" i="1" s="1"/>
  <c r="F16" i="1"/>
  <c r="G89" i="1" l="1"/>
  <c r="K88" i="1"/>
  <c r="G54" i="1"/>
  <c r="K53" i="1"/>
  <c r="G53" i="1"/>
  <c r="K52" i="1"/>
  <c r="G70" i="1"/>
  <c r="K69" i="1"/>
  <c r="G43" i="1"/>
  <c r="K42" i="1"/>
  <c r="G68" i="1"/>
  <c r="K67" i="1"/>
  <c r="G88" i="1"/>
  <c r="K87" i="1"/>
  <c r="G26" i="1"/>
  <c r="K25" i="1"/>
  <c r="G42" i="1"/>
  <c r="K41" i="1"/>
  <c r="G31" i="1"/>
  <c r="K30" i="1"/>
  <c r="G44" i="1"/>
  <c r="K43" i="1"/>
  <c r="G69" i="1"/>
  <c r="K68" i="1"/>
  <c r="G67" i="1"/>
  <c r="K66" i="1"/>
  <c r="G41" i="1"/>
  <c r="K40" i="1"/>
  <c r="G66" i="1"/>
  <c r="K65" i="1"/>
  <c r="G56" i="1"/>
  <c r="K55" i="1"/>
  <c r="K39" i="1"/>
  <c r="K31" i="1"/>
  <c r="K54" i="1"/>
  <c r="K29" i="1"/>
  <c r="K83" i="1"/>
  <c r="K51" i="1"/>
  <c r="L90" i="1"/>
  <c r="H83" i="1"/>
  <c r="G83" i="1" s="1"/>
  <c r="H65" i="1"/>
  <c r="G65" i="1" s="1"/>
  <c r="H51" i="1"/>
  <c r="H39" i="1"/>
  <c r="H25" i="1"/>
  <c r="H80" i="1"/>
  <c r="H62" i="1"/>
  <c r="H50" i="1"/>
  <c r="H38" i="1"/>
  <c r="H24" i="1"/>
  <c r="H79" i="1"/>
  <c r="G79" i="1" s="1"/>
  <c r="H61" i="1"/>
  <c r="H37" i="1"/>
  <c r="H23" i="1"/>
  <c r="H76" i="1"/>
  <c r="H48" i="1"/>
  <c r="H22" i="1"/>
  <c r="G22" i="1" s="1"/>
  <c r="H75" i="1"/>
  <c r="G75" i="1" s="1"/>
  <c r="H59" i="1"/>
  <c r="H47" i="1"/>
  <c r="H35" i="1"/>
  <c r="H19" i="1"/>
  <c r="H36" i="1"/>
  <c r="H72" i="1"/>
  <c r="H58" i="1"/>
  <c r="H46" i="1"/>
  <c r="H34" i="1"/>
  <c r="H18" i="1"/>
  <c r="H49" i="1"/>
  <c r="H60" i="1"/>
  <c r="H16" i="1"/>
  <c r="G16" i="1" s="1"/>
  <c r="H71" i="1"/>
  <c r="H57" i="1"/>
  <c r="H45" i="1"/>
  <c r="H33" i="1"/>
  <c r="H17" i="1"/>
  <c r="G71" i="1" l="1"/>
  <c r="K70" i="1"/>
  <c r="G48" i="1"/>
  <c r="K47" i="1"/>
  <c r="G36" i="1"/>
  <c r="K35" i="1"/>
  <c r="G19" i="1"/>
  <c r="K18" i="1"/>
  <c r="G80" i="1"/>
  <c r="K79" i="1"/>
  <c r="G49" i="1"/>
  <c r="K48" i="1"/>
  <c r="G25" i="1"/>
  <c r="K24" i="1"/>
  <c r="G57" i="1"/>
  <c r="K56" i="1"/>
  <c r="G58" i="1"/>
  <c r="K57" i="1"/>
  <c r="G38" i="1"/>
  <c r="K37" i="1"/>
  <c r="G76" i="1"/>
  <c r="K75" i="1"/>
  <c r="G60" i="1"/>
  <c r="K59" i="1"/>
  <c r="G23" i="1"/>
  <c r="K22" i="1"/>
  <c r="G35" i="1"/>
  <c r="K34" i="1"/>
  <c r="G18" i="1"/>
  <c r="K17" i="1"/>
  <c r="G61" i="1"/>
  <c r="K60" i="1"/>
  <c r="G33" i="1"/>
  <c r="K32" i="1"/>
  <c r="G34" i="1"/>
  <c r="K33" i="1"/>
  <c r="G59" i="1"/>
  <c r="K58" i="1"/>
  <c r="G51" i="1"/>
  <c r="K50" i="1"/>
  <c r="G72" i="1"/>
  <c r="K71" i="1"/>
  <c r="G50" i="1"/>
  <c r="K49" i="1"/>
  <c r="G62" i="1"/>
  <c r="K61" i="1"/>
  <c r="G37" i="1"/>
  <c r="K36" i="1"/>
  <c r="G17" i="1"/>
  <c r="K16" i="1"/>
  <c r="G47" i="1"/>
  <c r="K46" i="1"/>
  <c r="G39" i="1"/>
  <c r="K38" i="1"/>
  <c r="G45" i="1"/>
  <c r="K44" i="1"/>
  <c r="G46" i="1"/>
  <c r="K45" i="1"/>
  <c r="G24" i="1"/>
  <c r="K23" i="1"/>
  <c r="K90" i="1" l="1"/>
</calcChain>
</file>

<file path=xl/sharedStrings.xml><?xml version="1.0" encoding="utf-8"?>
<sst xmlns="http://schemas.openxmlformats.org/spreadsheetml/2006/main" count="151" uniqueCount="97">
  <si>
    <t>Bret's EASY PACK sachets 6x25g</t>
  </si>
  <si>
    <t>Bret's Easy Pack ANCIENNE 6 x 25g</t>
  </si>
  <si>
    <t>25g</t>
  </si>
  <si>
    <t>Bret's Easy Pack CRAQUANTE nature 6 x 25g</t>
  </si>
  <si>
    <t>Bret's Easy Pack POULET BRAISÉ 6 x 25g</t>
  </si>
  <si>
    <t>Bret's Easy Pack FROMAGE DU JURA 6 x 25g</t>
  </si>
  <si>
    <t>Bret's Mini L'ORIGINALE nature 40g</t>
  </si>
  <si>
    <t>40g</t>
  </si>
  <si>
    <t>Bret's Mini POULET BRAISÉ 40g</t>
  </si>
  <si>
    <t>Bret's Mini FROMAGE DU JURA 40g</t>
  </si>
  <si>
    <t>Bret's Mini MIEL MOUTARDE 40g</t>
  </si>
  <si>
    <t>Bret's Mini PESTO MOZARELLA 40g</t>
  </si>
  <si>
    <t>Bret's Sachets 125g</t>
  </si>
  <si>
    <t>Bret's ANCIENNE nature</t>
  </si>
  <si>
    <t>125g</t>
  </si>
  <si>
    <t> 3497911219121</t>
  </si>
  <si>
    <t>Bret's CRAQUANTE nature</t>
  </si>
  <si>
    <t> 3497911119124</t>
  </si>
  <si>
    <t>Bret's L'ORIGINALE nature</t>
  </si>
  <si>
    <t> 3497911119874</t>
  </si>
  <si>
    <t>Bret's PAYSANNE nature</t>
  </si>
  <si>
    <t> 3497917000112</t>
  </si>
  <si>
    <t>Bret's côte de BŒUF</t>
  </si>
  <si>
    <t>Bret's PETITS OIGNONS</t>
  </si>
  <si>
    <t>Bret's PIZZA</t>
  </si>
  <si>
    <t>Bret's POIVRON CHORIZO</t>
  </si>
  <si>
    <t> 3497917000778</t>
  </si>
  <si>
    <t>Bret's POULET BRAISÉ</t>
  </si>
  <si>
    <t>Bret's VINAIGRE</t>
  </si>
  <si>
    <t>Bret's AIOLI</t>
  </si>
  <si>
    <t>Bret's BACON GRILLÉ</t>
  </si>
  <si>
    <t>Bret's BEURRE SALÉ</t>
  </si>
  <si>
    <t>Bret's CAMEMBERT</t>
  </si>
  <si>
    <t>Bret's CEPES</t>
  </si>
  <si>
    <t>Bret's CHEVRE PIMENT</t>
  </si>
  <si>
    <t>Bret's FROMAGE DU JURA</t>
  </si>
  <si>
    <t>Bret's FROMAGE FRAIS</t>
  </si>
  <si>
    <t>Bret's PESTO MOZARELLA</t>
  </si>
  <si>
    <t>Bret's POMMES FRITES SAUCE</t>
  </si>
  <si>
    <t>Bret's YAKITORI</t>
  </si>
  <si>
    <t>Bret's CHEDDAR OIGNON</t>
  </si>
  <si>
    <t>Bret's MIEL MOUTARDE</t>
  </si>
  <si>
    <t>Bret's PILI PILI</t>
  </si>
  <si>
    <t>Bret's TARTIFLETTE</t>
  </si>
  <si>
    <t>Bret's BLEU D'AUVERGNE</t>
  </si>
  <si>
    <t>Bret's JALAPENO CHEDDAR</t>
  </si>
  <si>
    <t>Bret's SAUCE CURRY</t>
  </si>
  <si>
    <t>Bret's CARBONARA</t>
  </si>
  <si>
    <t>Bret's CARBONADE FLAMANDE</t>
  </si>
  <si>
    <t>Bret's KEBAB</t>
  </si>
  <si>
    <t>Bret's ALIGOT à L'AVEYRONNAISE</t>
  </si>
  <si>
    <t>Bret's MOUTARDE au PIMENT de CAYENNE</t>
  </si>
  <si>
    <t>Bret's FALAFELS à la LIBANAISE</t>
  </si>
  <si>
    <t>Bret's TAJINE DE POULET AUX EPICES</t>
  </si>
  <si>
    <t>Bret's BEURRE PERSILLE</t>
  </si>
  <si>
    <t>Bret's SAUCE BBQ</t>
  </si>
  <si>
    <t>Bret's BBQ &amp; JALAPENO</t>
  </si>
  <si>
    <t>Bret's BBQ A LA MEXICAINE</t>
  </si>
  <si>
    <t xml:space="preserve">Bret's BBQ FLAMBÉ au WHISKY </t>
  </si>
  <si>
    <t>Bret's BRIE TRUFFE</t>
  </si>
  <si>
    <t>Bret's CAMEMBERT TRUFFE</t>
  </si>
  <si>
    <t>Bret's Rotisserie</t>
  </si>
  <si>
    <t>Bret's ROTISSERIE nature</t>
  </si>
  <si>
    <t>120g</t>
  </si>
  <si>
    <t>Bret's AIL CONFIT et HERBES de PROVENCE rotisserie</t>
  </si>
  <si>
    <t xml:space="preserve"> </t>
  </si>
  <si>
    <t>Bret's Premium Légumes - Bio</t>
  </si>
  <si>
    <t>Bret's NATURE BIO</t>
  </si>
  <si>
    <t>100g</t>
  </si>
  <si>
    <t>Bret's LÉGUMES</t>
  </si>
  <si>
    <t>Bret's Sarrasin</t>
  </si>
  <si>
    <t>Bret's SARRASIN Nature</t>
  </si>
  <si>
    <t>Bret's SARRASIN Forestière</t>
  </si>
  <si>
    <t>Bret's Millésime</t>
  </si>
  <si>
    <t>Bret's Millésime NATURE AU SEL DE GUÉRANDE</t>
  </si>
  <si>
    <t>130g</t>
  </si>
  <si>
    <t>Bret's Millésime POIVRE DE TIMUT</t>
  </si>
  <si>
    <t xml:space="preserve">Bret's Millésime TRUFFE D'ÉTÉ </t>
  </si>
  <si>
    <t>Description</t>
  </si>
  <si>
    <t>EAN UC</t>
  </si>
  <si>
    <t>Unité</t>
  </si>
  <si>
    <t>Cond.</t>
  </si>
  <si>
    <t>nombre de colis commandé</t>
  </si>
  <si>
    <t>montant HT</t>
  </si>
  <si>
    <t>Nouveautés 2026</t>
  </si>
  <si>
    <t>Brets' Snacking sachets 40g (nouveauté 2026)</t>
  </si>
  <si>
    <t>prix revient promo</t>
  </si>
  <si>
    <t>prix revient promo colis</t>
  </si>
  <si>
    <t>prix départ promo colis</t>
  </si>
  <si>
    <t>prix départ promo unité</t>
  </si>
  <si>
    <t>nombre de points par colis</t>
  </si>
  <si>
    <t>nombre de points cagnottés</t>
  </si>
  <si>
    <t>BON DE COMMANDE</t>
  </si>
  <si>
    <r>
      <t xml:space="preserve">Commande à la palette uniquement </t>
    </r>
    <r>
      <rPr>
        <b/>
        <sz val="16"/>
        <color theme="1"/>
        <rFont val="Aptos Narrow"/>
        <scheme val="minor"/>
      </rPr>
      <t xml:space="preserve">par multiples de 90 colis panachables </t>
    </r>
    <r>
      <rPr>
        <sz val="16"/>
        <color theme="1"/>
        <rFont val="Aptos Narrow"/>
        <scheme val="minor"/>
      </rPr>
      <t xml:space="preserve"> svp (ex: 90 colis ou 180 colis ou 270 colis etc,,,)</t>
    </r>
  </si>
  <si>
    <t>Prix HT en Euros - Franco pour cette offre : 1 palette panachable de 90 colis                                                                                                                                                                  Sont inclus : Contribution Eco-emballages, contribution sur les boissons sucrées, droit spécifique sur les eaux et boissons non alcoolisées (BNA) et droit de consommation (article 403 du Code Général des Impôts). Selon montants connus à date. La contribution éco-emballages, la contribution sur les boissons sucrées et les droits spécifiques sur les eaux et BNA peuvent être révisées à tout moment selon les textes légaux en vigueur et entrainer une révision du tarif conformément à nos CGV.</t>
  </si>
  <si>
    <t>Applicable du 05/03/2026 au 31/03/2026</t>
  </si>
  <si>
    <t>Opération BRET'S MARS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</si>
</sst>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333333"/>
      <name val="Calibri"/>
      <family val="2"/>
    </font>
    <font>
      <b/>
      <sz val="13"/>
      <color theme="1"/>
      <name val="Aptos Narrow"/>
      <scheme val="minor"/>
    </font>
    <font>
      <b/>
      <sz val="11"/>
      <color rgb="FF7030A0"/>
      <name val="Calibri"/>
      <family val="2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6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20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20"/>
      <color rgb="FF4DA02C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DA02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1">
    <xf numFmtId="0" fontId="0" fillId="0" borderId="0"/>
    <xf numFmtId="0" fontId="12" fillId="0" borderId="0"/>
    <xf numFmtId="0" fontId="11" fillId="0" borderId="0"/>
    <xf numFmtId="0" fontId="17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11" fillId="0" borderId="0"/>
    <xf numFmtId="0" fontId="15" fillId="0" borderId="0"/>
    <xf numFmtId="0" fontId="11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11" fillId="0" borderId="0"/>
    <xf numFmtId="0" fontId="11" fillId="0" borderId="0"/>
    <xf numFmtId="0" fontId="15" fillId="0" borderId="0"/>
    <xf numFmtId="0" fontId="11" fillId="0" borderId="0"/>
    <xf numFmtId="0" fontId="15" fillId="0" borderId="0"/>
    <xf numFmtId="0" fontId="11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1" fillId="0" borderId="0"/>
    <xf numFmtId="0" fontId="11" fillId="0" borderId="0"/>
    <xf numFmtId="0" fontId="15" fillId="0" borderId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2" fillId="2" borderId="3" xfId="0" applyNumberFormat="1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vertical="center" wrapText="1"/>
    </xf>
    <xf numFmtId="0" fontId="1" fillId="0" borderId="11" xfId="0" applyFont="1" applyBorder="1" applyAlignment="1">
      <alignment horizontal="center"/>
    </xf>
    <xf numFmtId="49" fontId="2" fillId="2" borderId="1" xfId="0" applyNumberFormat="1" applyFont="1" applyFill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vertical="center" wrapText="1"/>
    </xf>
    <xf numFmtId="49" fontId="3" fillId="7" borderId="2" xfId="0" applyNumberFormat="1" applyFont="1" applyFill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1" fillId="9" borderId="1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49" fontId="6" fillId="6" borderId="1" xfId="0" applyNumberFormat="1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" fillId="9" borderId="3" xfId="0" applyFont="1" applyFill="1" applyBorder="1" applyAlignment="1">
      <alignment horizontal="center"/>
    </xf>
    <xf numFmtId="49" fontId="2" fillId="2" borderId="13" xfId="0" applyNumberFormat="1" applyFont="1" applyFill="1" applyBorder="1" applyAlignment="1">
      <alignment vertical="center" wrapText="1"/>
    </xf>
    <xf numFmtId="49" fontId="2" fillId="3" borderId="3" xfId="0" applyNumberFormat="1" applyFont="1" applyFill="1" applyBorder="1" applyAlignment="1">
      <alignment vertical="center" wrapText="1"/>
    </xf>
    <xf numFmtId="49" fontId="2" fillId="3" borderId="9" xfId="0" applyNumberFormat="1" applyFont="1" applyFill="1" applyBorder="1" applyAlignment="1">
      <alignment vertical="center" wrapText="1"/>
    </xf>
    <xf numFmtId="49" fontId="6" fillId="6" borderId="3" xfId="0" applyNumberFormat="1" applyFont="1" applyFill="1" applyBorder="1" applyAlignment="1">
      <alignment vertical="center" wrapText="1"/>
    </xf>
    <xf numFmtId="49" fontId="3" fillId="8" borderId="2" xfId="0" applyNumberFormat="1" applyFont="1" applyFill="1" applyBorder="1" applyAlignment="1">
      <alignment vertical="center" wrapText="1"/>
    </xf>
    <xf numFmtId="0" fontId="7" fillId="0" borderId="2" xfId="0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/>
    <xf numFmtId="0" fontId="1" fillId="0" borderId="12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4" fillId="0" borderId="0" xfId="11" applyFont="1" applyAlignment="1">
      <alignment horizontal="left" vertical="top" wrapText="1"/>
    </xf>
    <xf numFmtId="0" fontId="1" fillId="5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2" fontId="16" fillId="10" borderId="14" xfId="1" applyNumberFormat="1" applyFont="1" applyFill="1" applyBorder="1" applyAlignment="1">
      <alignment horizontal="center" vertical="center"/>
    </xf>
    <xf numFmtId="2" fontId="13" fillId="10" borderId="15" xfId="1" applyNumberFormat="1" applyFont="1" applyFill="1" applyBorder="1" applyAlignment="1">
      <alignment horizontal="center" vertical="center"/>
    </xf>
    <xf numFmtId="2" fontId="13" fillId="10" borderId="16" xfId="1" applyNumberFormat="1" applyFont="1" applyFill="1" applyBorder="1" applyAlignment="1">
      <alignment horizontal="center" vertical="center"/>
    </xf>
    <xf numFmtId="2" fontId="13" fillId="10" borderId="17" xfId="1" applyNumberFormat="1" applyFont="1" applyFill="1" applyBorder="1" applyAlignment="1">
      <alignment horizontal="center" vertical="center"/>
    </xf>
    <xf numFmtId="2" fontId="13" fillId="10" borderId="18" xfId="1" applyNumberFormat="1" applyFont="1" applyFill="1" applyBorder="1" applyAlignment="1">
      <alignment horizontal="center" vertical="center"/>
    </xf>
    <xf numFmtId="2" fontId="13" fillId="10" borderId="19" xfId="1" applyNumberFormat="1" applyFont="1" applyFill="1" applyBorder="1" applyAlignment="1">
      <alignment horizontal="center" vertical="center"/>
    </xf>
    <xf numFmtId="2" fontId="13" fillId="0" borderId="15" xfId="1" applyNumberFormat="1" applyFont="1" applyBorder="1" applyAlignment="1">
      <alignment horizontal="center" vertical="center"/>
    </xf>
    <xf numFmtId="0" fontId="14" fillId="0" borderId="0" xfId="11" applyFont="1" applyAlignment="1">
      <alignment horizontal="left" vertical="top" wrapText="1"/>
    </xf>
  </cellXfs>
  <cellStyles count="71">
    <cellStyle name="Normal" xfId="0" builtinId="0"/>
    <cellStyle name="Normal 10" xfId="11" xr:uid="{5D488B36-1BE3-45FD-B22D-782C03C78611}"/>
    <cellStyle name="Normal 10 2" xfId="30" xr:uid="{149711A6-3034-40A1-A7BA-74851C249C34}"/>
    <cellStyle name="Normal 11" xfId="12" xr:uid="{CEBB963D-F833-4489-810D-118A23DE95CA}"/>
    <cellStyle name="Normal 11 2" xfId="31" xr:uid="{3EC8361A-E2DC-488F-9EFF-9284FE15457F}"/>
    <cellStyle name="Normal 12" xfId="13" xr:uid="{E9A7E125-491D-4FEF-87E1-65495C2EDA87}"/>
    <cellStyle name="Normal 12 2" xfId="32" xr:uid="{2A9593D7-AA76-4949-BB99-91060710E681}"/>
    <cellStyle name="Normal 13" xfId="14" xr:uid="{79EB905E-EB16-4F34-99AC-479D457BADA2}"/>
    <cellStyle name="Normal 13 2" xfId="33" xr:uid="{A8C36C4D-A69A-464E-8A58-527F141F9732}"/>
    <cellStyle name="Normal 14" xfId="15" xr:uid="{27E848C5-CCEA-42A8-9838-E7CED5EE83FD}"/>
    <cellStyle name="Normal 14 2" xfId="34" xr:uid="{647C557F-A67A-40F1-A45F-2B5E534D9F83}"/>
    <cellStyle name="Normal 15" xfId="16" xr:uid="{B06CFCB1-E39C-4DFA-8DAC-12F32328495A}"/>
    <cellStyle name="Normal 15 2" xfId="35" xr:uid="{131E6329-4495-4612-BB25-7FABF1449916}"/>
    <cellStyle name="Normal 16" xfId="17" xr:uid="{62FA4413-2CFC-4DEB-A117-E434E6030C22}"/>
    <cellStyle name="Normal 16 2" xfId="36" xr:uid="{70C4DE67-A42F-407A-8031-0F2F2C9638FC}"/>
    <cellStyle name="Normal 17" xfId="20" xr:uid="{B96FD939-6A99-4740-8D48-178FDAD3DC71}"/>
    <cellStyle name="Normal 17 2" xfId="60" xr:uid="{9C6958D1-72FA-473A-B631-DA1FC20502B4}"/>
    <cellStyle name="Normal 17 3" xfId="46" xr:uid="{9D4C7AA2-CA7B-4F50-9626-9DC805CE9CD1}"/>
    <cellStyle name="Normal 18" xfId="22" xr:uid="{C02E783F-47BD-406F-B9D5-31FD85A14A3D}"/>
    <cellStyle name="Normal 18 2" xfId="62" xr:uid="{3BC3B2D8-B98A-46EE-A675-C1B47960FCA0}"/>
    <cellStyle name="Normal 18 3" xfId="48" xr:uid="{1A6135E3-B4E9-4AFD-8A75-1D1EA7075F77}"/>
    <cellStyle name="Normal 19" xfId="37" xr:uid="{A30D5903-0223-4CA5-92AF-A4E934A4C2F6}"/>
    <cellStyle name="Normal 19 2" xfId="65" xr:uid="{0984E0EA-A343-4207-AAB2-84147FB08171}"/>
    <cellStyle name="Normal 19 3" xfId="50" xr:uid="{160FFF50-B390-490B-AE51-A250D4D008B0}"/>
    <cellStyle name="Normal 2" xfId="3" xr:uid="{FA831CEA-6F8B-4E35-A82B-8A69EF95A435}"/>
    <cellStyle name="Normal 20" xfId="18" xr:uid="{15EC0325-2E9B-47CC-901F-1BF40B6208CD}"/>
    <cellStyle name="Normal 20 2" xfId="58" xr:uid="{2CF4AF91-6958-4D66-8BFA-296FD2C5A928}"/>
    <cellStyle name="Normal 20 3" xfId="44" xr:uid="{8FDD37D8-6E48-487A-B258-7B5332C8B24B}"/>
    <cellStyle name="Normal 21" xfId="38" xr:uid="{3E8FDC89-E8ED-4398-B351-9E3223EB7780}"/>
    <cellStyle name="Normal 21 2" xfId="66" xr:uid="{E4EE7D38-7B81-4EF4-B301-B00DA7DE4B98}"/>
    <cellStyle name="Normal 21 3" xfId="51" xr:uid="{1951D32F-CC7B-4839-91F8-572E686135E0}"/>
    <cellStyle name="Normal 22" xfId="39" xr:uid="{18EEBC8E-1A55-4D37-B638-CC2CB57B4A93}"/>
    <cellStyle name="Normal 22 2" xfId="67" xr:uid="{72FE6A6C-976D-48FD-BE1A-A26644C9CA1D}"/>
    <cellStyle name="Normal 22 3" xfId="52" xr:uid="{ADEFFA1A-6C94-4772-8D7A-6B5C3FF6F933}"/>
    <cellStyle name="Normal 23" xfId="40" xr:uid="{E34C9C78-96C4-4C23-AD63-95C065F28B31}"/>
    <cellStyle name="Normal 23 2" xfId="68" xr:uid="{96DCF5E8-9468-407C-BB19-82C4354A0DFD}"/>
    <cellStyle name="Normal 23 3" xfId="53" xr:uid="{2634207B-B723-4FA8-ADFF-9196E27DF054}"/>
    <cellStyle name="Normal 24" xfId="41" xr:uid="{830D7CE0-DFCA-403E-A211-3131FE0AA607}"/>
    <cellStyle name="Normal 24 2" xfId="69" xr:uid="{485E5AB6-3204-4515-B7AC-7CEF3D32DB08}"/>
    <cellStyle name="Normal 24 3" xfId="54" xr:uid="{7519999F-CF88-4141-B9C1-9F95D8976582}"/>
    <cellStyle name="Normal 25" xfId="55" xr:uid="{779B7AA7-1CB1-4843-9B06-F66CBBE0B726}"/>
    <cellStyle name="Normal 26" xfId="64" xr:uid="{C993F50C-2B9A-49EF-90C8-189371B44B9D}"/>
    <cellStyle name="Normal 27" xfId="70" xr:uid="{32926153-5BA7-4F3A-98E8-41CFC5F4163F}"/>
    <cellStyle name="Normal 28" xfId="1" xr:uid="{9CB165FD-CC5A-4DF5-8E31-76054FCE3D65}"/>
    <cellStyle name="Normal 3" xfId="2" xr:uid="{3B840833-B407-4EE2-9576-191C92E3D23F}"/>
    <cellStyle name="Normal 3 2" xfId="6" xr:uid="{5A870896-ED08-428A-A6F9-E63D6618A4BF}"/>
    <cellStyle name="Normal 3 2 2" xfId="25" xr:uid="{C4921716-BDF7-4DA5-AB38-3CA07CDACCD4}"/>
    <cellStyle name="Normal 3 2 2 2" xfId="63" xr:uid="{F1CCA5E3-44CE-468E-86A6-83D7FBCA236C}"/>
    <cellStyle name="Normal 3 2 2 3" xfId="49" xr:uid="{21197F19-0525-449F-AA15-0AD06C48C158}"/>
    <cellStyle name="Normal 3 2 3" xfId="57" xr:uid="{A2C90134-EC92-4FF7-A31E-E325F15A9E7F}"/>
    <cellStyle name="Normal 3 2 4" xfId="43" xr:uid="{02F0D7D7-B0EE-4CBC-BC71-EABF843D7CB2}"/>
    <cellStyle name="Normal 3 3" xfId="21" xr:uid="{29F671A6-D688-4FE8-8FAA-C426D6515BEE}"/>
    <cellStyle name="Normal 3 3 2" xfId="61" xr:uid="{46F99F94-037F-4F08-B9C3-B12413AF15A7}"/>
    <cellStyle name="Normal 3 3 3" xfId="47" xr:uid="{5AE3F081-DD0D-400B-98C6-18FB10FFE876}"/>
    <cellStyle name="Normal 3 4" xfId="19" xr:uid="{501EC3F3-9629-4F67-BD75-1044DA52E508}"/>
    <cellStyle name="Normal 3 4 2" xfId="59" xr:uid="{7435A82D-73D4-472A-8B9F-F564A6002B7D}"/>
    <cellStyle name="Normal 3 4 3" xfId="45" xr:uid="{BCCE9DC0-8D91-498C-9C70-4D6C8269FA3B}"/>
    <cellStyle name="Normal 3 5" xfId="56" xr:uid="{091AFA65-D7F6-48C0-9F10-399DB9BF923C}"/>
    <cellStyle name="Normal 3 6" xfId="42" xr:uid="{48D89AFC-7EB5-47FD-8345-6DE713132830}"/>
    <cellStyle name="Normal 4" xfId="4" xr:uid="{1B19DC3E-A630-4361-99A4-87925A9F5673}"/>
    <cellStyle name="Normal 4 2" xfId="23" xr:uid="{7ACA3B8F-BC27-400C-AB20-5FC80C13643E}"/>
    <cellStyle name="Normal 5" xfId="5" xr:uid="{BBC06F21-30B3-44B1-B51A-BCE77A20A5B0}"/>
    <cellStyle name="Normal 5 2" xfId="24" xr:uid="{E1C30655-A3CA-4E9F-8578-B988B4EC3338}"/>
    <cellStyle name="Normal 6" xfId="7" xr:uid="{B7678C50-81F3-46D8-B269-F4E2AE83188B}"/>
    <cellStyle name="Normal 6 2" xfId="26" xr:uid="{D39FEEBB-35A6-43D9-892B-FE05DB9E4745}"/>
    <cellStyle name="Normal 7" xfId="8" xr:uid="{2E81B42C-539D-4475-9A0B-2C7D4C7CC49D}"/>
    <cellStyle name="Normal 7 2" xfId="27" xr:uid="{C42A24D6-EBAA-4D2B-9B74-4CC1D3DDD538}"/>
    <cellStyle name="Normal 8" xfId="9" xr:uid="{A5C51D3F-AA10-43A1-BBBE-3EC8994D32D3}"/>
    <cellStyle name="Normal 8 2" xfId="28" xr:uid="{8F4A422C-C5CE-4942-9EC0-BE26279C2D9F}"/>
    <cellStyle name="Normal 9" xfId="10" xr:uid="{48B61D9C-1D40-4C75-B181-5DF26D488BD9}"/>
    <cellStyle name="Normal 9 2" xfId="29" xr:uid="{E3B20435-CE9D-4484-BDDF-1A946020529D}"/>
  </cellStyles>
  <dxfs count="0"/>
  <tableStyles count="0" defaultTableStyle="TableStyleMedium2" defaultPivotStyle="PivotStyleLight16"/>
  <colors>
    <mruColors>
      <color rgb="FF4DA0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05075" cy="866774"/>
    <xdr:pic>
      <xdr:nvPicPr>
        <xdr:cNvPr id="4" name="image1.jpg" descr="Karl&amp;Léon.jpg">
          <a:extLst>
            <a:ext uri="{FF2B5EF4-FFF2-40B4-BE49-F238E27FC236}">
              <a16:creationId xmlns:a16="http://schemas.microsoft.com/office/drawing/2014/main" id="{A5457FAD-417E-4E1E-AEF8-133372A9B7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505075" cy="866774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2724149</xdr:colOff>
      <xdr:row>0</xdr:row>
      <xdr:rowOff>1</xdr:rowOff>
    </xdr:from>
    <xdr:ext cx="2076451" cy="9334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8F23BC1-79D8-480C-975C-DC59599333E5}"/>
            </a:ext>
          </a:extLst>
        </xdr:cNvPr>
        <xdr:cNvSpPr txBox="1"/>
      </xdr:nvSpPr>
      <xdr:spPr>
        <a:xfrm>
          <a:off x="2724149" y="1"/>
          <a:ext cx="2076451" cy="9334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fr-FR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44, rue des Garennes</a:t>
          </a: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fr-FR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57155 MARLY</a:t>
          </a:r>
          <a:endParaRPr sz="105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commandes@karletleon.com</a:t>
          </a:r>
          <a:endParaRPr sz="1200" b="1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7AD1E-DEFF-49D3-9531-9C90C4829FF7}">
  <sheetPr>
    <pageSetUpPr fitToPage="1"/>
  </sheetPr>
  <dimension ref="A1:M90"/>
  <sheetViews>
    <sheetView tabSelected="1" workbookViewId="0">
      <selection activeCell="O6" sqref="O6"/>
    </sheetView>
  </sheetViews>
  <sheetFormatPr baseColWidth="10" defaultRowHeight="14.25"/>
  <cols>
    <col min="1" max="1" width="40.875" customWidth="1"/>
    <col min="2" max="2" width="7.875" customWidth="1"/>
    <col min="3" max="3" width="5.375" customWidth="1"/>
    <col min="4" max="4" width="15.375" customWidth="1"/>
    <col min="5" max="5" width="9" style="1" customWidth="1"/>
    <col min="6" max="9" width="8.125" style="1" customWidth="1"/>
    <col min="10" max="10" width="17.125" style="1" customWidth="1"/>
    <col min="11" max="12" width="11" style="1"/>
  </cols>
  <sheetData>
    <row r="1" spans="1:13">
      <c r="F1" s="59" t="s">
        <v>92</v>
      </c>
      <c r="G1" s="60"/>
      <c r="H1" s="60"/>
      <c r="I1" s="61"/>
    </row>
    <row r="2" spans="1:13" ht="15" thickBot="1">
      <c r="F2" s="62"/>
      <c r="G2" s="63"/>
      <c r="H2" s="63"/>
      <c r="I2" s="64"/>
    </row>
    <row r="3" spans="1:13">
      <c r="F3" s="65" t="s">
        <v>95</v>
      </c>
      <c r="G3" s="65"/>
      <c r="H3" s="65"/>
      <c r="I3" s="65"/>
    </row>
    <row r="4" spans="1:13" ht="52.5" customHeight="1"/>
    <row r="5" spans="1:13" ht="32.25" customHeight="1">
      <c r="A5" s="66" t="s">
        <v>94</v>
      </c>
      <c r="B5" s="66"/>
      <c r="C5" s="66"/>
      <c r="D5" s="66"/>
      <c r="E5" s="66"/>
      <c r="F5" s="66"/>
      <c r="G5" s="66"/>
      <c r="H5" s="66"/>
      <c r="I5" s="66"/>
      <c r="J5" s="66"/>
    </row>
    <row r="6" spans="1:13">
      <c r="A6" s="66"/>
      <c r="B6" s="66"/>
      <c r="C6" s="66"/>
      <c r="D6" s="66"/>
      <c r="E6" s="66"/>
      <c r="F6" s="66"/>
      <c r="G6" s="66"/>
      <c r="H6" s="66"/>
      <c r="I6" s="66"/>
      <c r="J6" s="66"/>
    </row>
    <row r="7" spans="1:13">
      <c r="A7" s="52"/>
      <c r="B7" s="52"/>
      <c r="C7" s="52"/>
      <c r="D7" s="52"/>
      <c r="E7" s="52"/>
      <c r="F7" s="52"/>
      <c r="G7" s="52"/>
      <c r="H7" s="52"/>
      <c r="I7" s="52"/>
      <c r="J7" s="52"/>
    </row>
    <row r="8" spans="1:13" ht="26.25">
      <c r="D8" s="47"/>
      <c r="E8" s="58" t="s">
        <v>96</v>
      </c>
      <c r="F8" s="49"/>
      <c r="G8" s="56"/>
    </row>
    <row r="9" spans="1:13" ht="20.25">
      <c r="B9" s="32"/>
      <c r="C9" s="32"/>
      <c r="E9" s="33"/>
      <c r="F9" s="33"/>
      <c r="G9" s="33"/>
      <c r="H9" s="33"/>
      <c r="I9" s="33"/>
      <c r="J9" s="33"/>
    </row>
    <row r="10" spans="1:13" ht="20.25">
      <c r="A10" s="34" t="s">
        <v>93</v>
      </c>
      <c r="B10" s="34"/>
      <c r="C10" s="34"/>
      <c r="D10" s="34"/>
      <c r="E10" s="35"/>
      <c r="F10" s="35"/>
      <c r="G10" s="35"/>
      <c r="H10" s="35"/>
      <c r="I10" s="35"/>
      <c r="J10" s="35"/>
      <c r="K10" s="36"/>
      <c r="L10" s="36"/>
      <c r="M10" s="37"/>
    </row>
    <row r="12" spans="1:13" ht="15" thickBot="1"/>
    <row r="13" spans="1:13" ht="60.75" thickBot="1">
      <c r="A13" s="53" t="s">
        <v>78</v>
      </c>
      <c r="B13" s="46" t="s">
        <v>81</v>
      </c>
      <c r="C13" s="54" t="s">
        <v>80</v>
      </c>
      <c r="D13" s="54" t="s">
        <v>79</v>
      </c>
      <c r="E13" s="46" t="s">
        <v>86</v>
      </c>
      <c r="F13" s="57" t="s">
        <v>87</v>
      </c>
      <c r="G13" s="50" t="s">
        <v>89</v>
      </c>
      <c r="H13" s="51" t="s">
        <v>88</v>
      </c>
      <c r="I13" s="51" t="s">
        <v>90</v>
      </c>
      <c r="J13" s="50" t="s">
        <v>82</v>
      </c>
      <c r="K13" s="55" t="s">
        <v>83</v>
      </c>
      <c r="L13" s="48" t="s">
        <v>91</v>
      </c>
    </row>
    <row r="14" spans="1:13" ht="15.75" thickBot="1">
      <c r="A14" s="39"/>
      <c r="B14" s="4"/>
      <c r="C14" s="5"/>
      <c r="D14" s="6"/>
      <c r="E14" s="7"/>
      <c r="F14" s="8"/>
      <c r="G14" s="8"/>
      <c r="H14" s="8"/>
      <c r="I14" s="8"/>
      <c r="J14" s="38"/>
      <c r="K14" s="7"/>
      <c r="L14" s="2"/>
    </row>
    <row r="15" spans="1:13" ht="15.75" thickBot="1">
      <c r="A15" s="21" t="s">
        <v>0</v>
      </c>
      <c r="B15" s="22"/>
      <c r="C15" s="11"/>
      <c r="D15" s="12"/>
      <c r="E15" s="13"/>
      <c r="F15" s="14"/>
      <c r="G15" s="14"/>
      <c r="H15" s="14"/>
      <c r="I15" s="14"/>
      <c r="J15" s="26"/>
      <c r="K15" s="9"/>
      <c r="L15" s="2"/>
    </row>
    <row r="16" spans="1:13" ht="15">
      <c r="A16" s="40" t="s">
        <v>1</v>
      </c>
      <c r="B16" s="10" t="s">
        <v>2</v>
      </c>
      <c r="C16" s="11">
        <v>16</v>
      </c>
      <c r="D16" s="12">
        <v>3497911223159</v>
      </c>
      <c r="E16" s="9">
        <v>1.68</v>
      </c>
      <c r="F16" s="16">
        <f>E16*C16</f>
        <v>26.88</v>
      </c>
      <c r="G16" s="45">
        <f>H16/C16</f>
        <v>1.7424999999999999</v>
      </c>
      <c r="H16" s="16">
        <f>F16+I16</f>
        <v>27.88</v>
      </c>
      <c r="I16" s="16">
        <v>1</v>
      </c>
      <c r="J16" s="26"/>
      <c r="K16" s="9">
        <f>J16*H17</f>
        <v>0</v>
      </c>
      <c r="L16" s="2">
        <f>J16*I16</f>
        <v>0</v>
      </c>
    </row>
    <row r="17" spans="1:12" ht="15">
      <c r="A17" s="15" t="s">
        <v>3</v>
      </c>
      <c r="B17" s="10" t="s">
        <v>2</v>
      </c>
      <c r="C17" s="11">
        <v>16</v>
      </c>
      <c r="D17" s="12">
        <v>3497911119148</v>
      </c>
      <c r="E17" s="9">
        <v>1.68</v>
      </c>
      <c r="F17" s="16">
        <f t="shared" ref="F17:F80" si="0">E17*C17</f>
        <v>26.88</v>
      </c>
      <c r="G17" s="45">
        <f t="shared" ref="G17:G80" si="1">H17/C17</f>
        <v>1.7424999999999999</v>
      </c>
      <c r="H17" s="16">
        <f t="shared" ref="H17:H80" si="2">F17+I17</f>
        <v>27.88</v>
      </c>
      <c r="I17" s="16">
        <v>1</v>
      </c>
      <c r="J17" s="26"/>
      <c r="K17" s="9">
        <f t="shared" ref="K17:K80" si="3">J17*H18</f>
        <v>0</v>
      </c>
      <c r="L17" s="2">
        <f t="shared" ref="L17:L80" si="4">J17*I17</f>
        <v>0</v>
      </c>
    </row>
    <row r="18" spans="1:12" ht="15">
      <c r="A18" s="15" t="s">
        <v>4</v>
      </c>
      <c r="B18" s="10" t="s">
        <v>2</v>
      </c>
      <c r="C18" s="11">
        <v>16</v>
      </c>
      <c r="D18" s="12">
        <v>3497911124159</v>
      </c>
      <c r="E18" s="9">
        <v>1.8</v>
      </c>
      <c r="F18" s="16">
        <f t="shared" si="0"/>
        <v>28.8</v>
      </c>
      <c r="G18" s="45">
        <f t="shared" si="1"/>
        <v>1.8625</v>
      </c>
      <c r="H18" s="16">
        <f t="shared" si="2"/>
        <v>29.8</v>
      </c>
      <c r="I18" s="16">
        <v>1</v>
      </c>
      <c r="J18" s="26"/>
      <c r="K18" s="9">
        <f t="shared" si="3"/>
        <v>0</v>
      </c>
      <c r="L18" s="2">
        <f t="shared" si="4"/>
        <v>0</v>
      </c>
    </row>
    <row r="19" spans="1:12" ht="15">
      <c r="A19" s="15" t="s">
        <v>5</v>
      </c>
      <c r="B19" s="10" t="s">
        <v>2</v>
      </c>
      <c r="C19" s="11">
        <v>16</v>
      </c>
      <c r="D19" s="12">
        <v>3497917004165</v>
      </c>
      <c r="E19" s="9">
        <v>0.32</v>
      </c>
      <c r="F19" s="16">
        <f t="shared" si="0"/>
        <v>5.12</v>
      </c>
      <c r="G19" s="45">
        <f t="shared" si="1"/>
        <v>0.38250000000000001</v>
      </c>
      <c r="H19" s="16">
        <f t="shared" si="2"/>
        <v>6.12</v>
      </c>
      <c r="I19" s="16">
        <v>1</v>
      </c>
      <c r="J19" s="26"/>
      <c r="K19" s="9">
        <f t="shared" si="3"/>
        <v>0</v>
      </c>
      <c r="L19" s="2">
        <f t="shared" si="4"/>
        <v>0</v>
      </c>
    </row>
    <row r="20" spans="1:12" ht="15.75" thickBot="1">
      <c r="A20" s="41"/>
      <c r="B20" s="10"/>
      <c r="C20" s="11"/>
      <c r="D20" s="12"/>
      <c r="E20" s="9"/>
      <c r="F20" s="16"/>
      <c r="G20" s="45"/>
      <c r="H20" s="16"/>
      <c r="I20" s="16"/>
      <c r="J20" s="26"/>
      <c r="K20" s="9">
        <f t="shared" si="3"/>
        <v>0</v>
      </c>
      <c r="L20" s="2">
        <f t="shared" si="4"/>
        <v>0</v>
      </c>
    </row>
    <row r="21" spans="1:12" ht="15.75" thickBot="1">
      <c r="A21" s="21" t="s">
        <v>85</v>
      </c>
      <c r="B21" s="22"/>
      <c r="C21" s="11"/>
      <c r="D21" s="12"/>
      <c r="E21" s="13"/>
      <c r="F21" s="14"/>
      <c r="G21" s="45"/>
      <c r="H21" s="16"/>
      <c r="I21" s="14"/>
      <c r="J21" s="26"/>
      <c r="K21" s="9"/>
      <c r="L21" s="2">
        <f t="shared" si="4"/>
        <v>0</v>
      </c>
    </row>
    <row r="22" spans="1:12" ht="15">
      <c r="A22" s="40" t="s">
        <v>6</v>
      </c>
      <c r="B22" s="10" t="s">
        <v>7</v>
      </c>
      <c r="C22" s="11">
        <v>18</v>
      </c>
      <c r="D22" s="12">
        <v>3497917001196</v>
      </c>
      <c r="E22" s="9">
        <v>0.4</v>
      </c>
      <c r="F22" s="16">
        <f t="shared" si="0"/>
        <v>7.2</v>
      </c>
      <c r="G22" s="45">
        <f t="shared" si="1"/>
        <v>0.45555555555555549</v>
      </c>
      <c r="H22" s="16">
        <f t="shared" si="2"/>
        <v>8.1999999999999993</v>
      </c>
      <c r="I22" s="16">
        <v>1</v>
      </c>
      <c r="J22" s="26"/>
      <c r="K22" s="9">
        <f t="shared" si="3"/>
        <v>0</v>
      </c>
      <c r="L22" s="2">
        <f t="shared" si="4"/>
        <v>0</v>
      </c>
    </row>
    <row r="23" spans="1:12" ht="15">
      <c r="A23" s="15" t="s">
        <v>8</v>
      </c>
      <c r="B23" s="10" t="s">
        <v>7</v>
      </c>
      <c r="C23" s="11">
        <v>18</v>
      </c>
      <c r="D23" s="12">
        <v>3497917004202</v>
      </c>
      <c r="E23" s="9">
        <v>0.5</v>
      </c>
      <c r="F23" s="16">
        <f t="shared" si="0"/>
        <v>9</v>
      </c>
      <c r="G23" s="45">
        <f t="shared" si="1"/>
        <v>0.55555555555555558</v>
      </c>
      <c r="H23" s="16">
        <f t="shared" si="2"/>
        <v>10</v>
      </c>
      <c r="I23" s="16">
        <v>1</v>
      </c>
      <c r="J23" s="26"/>
      <c r="K23" s="9">
        <f t="shared" si="3"/>
        <v>0</v>
      </c>
      <c r="L23" s="2">
        <f t="shared" si="4"/>
        <v>0</v>
      </c>
    </row>
    <row r="24" spans="1:12" ht="15">
      <c r="A24" s="15" t="s">
        <v>9</v>
      </c>
      <c r="B24" s="10" t="s">
        <v>7</v>
      </c>
      <c r="C24" s="11">
        <v>18</v>
      </c>
      <c r="D24" s="12">
        <v>3497917004479</v>
      </c>
      <c r="E24" s="9">
        <v>0.5</v>
      </c>
      <c r="F24" s="16">
        <f t="shared" si="0"/>
        <v>9</v>
      </c>
      <c r="G24" s="45">
        <f t="shared" si="1"/>
        <v>0.55555555555555558</v>
      </c>
      <c r="H24" s="16">
        <f t="shared" si="2"/>
        <v>10</v>
      </c>
      <c r="I24" s="16">
        <v>1</v>
      </c>
      <c r="J24" s="26"/>
      <c r="K24" s="9">
        <f t="shared" si="3"/>
        <v>0</v>
      </c>
      <c r="L24" s="2">
        <f t="shared" si="4"/>
        <v>0</v>
      </c>
    </row>
    <row r="25" spans="1:12" ht="15">
      <c r="A25" s="15" t="s">
        <v>10</v>
      </c>
      <c r="B25" s="10" t="s">
        <v>7</v>
      </c>
      <c r="C25" s="11">
        <v>18</v>
      </c>
      <c r="D25" s="12">
        <v>3497917004486</v>
      </c>
      <c r="E25" s="9">
        <v>0.5</v>
      </c>
      <c r="F25" s="16">
        <f t="shared" si="0"/>
        <v>9</v>
      </c>
      <c r="G25" s="45">
        <f t="shared" si="1"/>
        <v>0.55555555555555558</v>
      </c>
      <c r="H25" s="16">
        <f t="shared" si="2"/>
        <v>10</v>
      </c>
      <c r="I25" s="16">
        <v>1</v>
      </c>
      <c r="J25" s="26"/>
      <c r="K25" s="9">
        <f t="shared" si="3"/>
        <v>0</v>
      </c>
      <c r="L25" s="2">
        <f t="shared" si="4"/>
        <v>0</v>
      </c>
    </row>
    <row r="26" spans="1:12" ht="15">
      <c r="A26" s="15" t="s">
        <v>11</v>
      </c>
      <c r="B26" s="10" t="s">
        <v>7</v>
      </c>
      <c r="C26" s="11">
        <v>18</v>
      </c>
      <c r="D26" s="12">
        <v>3497917004493</v>
      </c>
      <c r="E26" s="9">
        <v>0.5</v>
      </c>
      <c r="F26" s="16">
        <f t="shared" si="0"/>
        <v>9</v>
      </c>
      <c r="G26" s="45">
        <f t="shared" si="1"/>
        <v>0.55555555555555558</v>
      </c>
      <c r="H26" s="16">
        <f t="shared" si="2"/>
        <v>10</v>
      </c>
      <c r="I26" s="16">
        <v>1</v>
      </c>
      <c r="J26" s="26"/>
      <c r="K26" s="9">
        <f t="shared" si="3"/>
        <v>0</v>
      </c>
      <c r="L26" s="2">
        <f t="shared" si="4"/>
        <v>0</v>
      </c>
    </row>
    <row r="27" spans="1:12" ht="15.75" thickBot="1">
      <c r="A27" s="41"/>
      <c r="B27" s="10"/>
      <c r="C27" s="11"/>
      <c r="D27" s="12"/>
      <c r="E27" s="9"/>
      <c r="F27" s="16"/>
      <c r="G27" s="45"/>
      <c r="H27" s="16"/>
      <c r="I27" s="16"/>
      <c r="J27" s="26"/>
      <c r="K27" s="9">
        <f t="shared" si="3"/>
        <v>0</v>
      </c>
      <c r="L27" s="2">
        <f t="shared" si="4"/>
        <v>0</v>
      </c>
    </row>
    <row r="28" spans="1:12" ht="15.75" thickBot="1">
      <c r="A28" s="21" t="s">
        <v>12</v>
      </c>
      <c r="B28" s="22"/>
      <c r="C28" s="11"/>
      <c r="D28" s="12"/>
      <c r="E28" s="9"/>
      <c r="F28" s="16"/>
      <c r="G28" s="45"/>
      <c r="H28" s="16"/>
      <c r="I28" s="16"/>
      <c r="J28" s="26"/>
      <c r="K28" s="9"/>
      <c r="L28" s="2">
        <f t="shared" si="4"/>
        <v>0</v>
      </c>
    </row>
    <row r="29" spans="1:12" ht="15">
      <c r="A29" s="3" t="s">
        <v>13</v>
      </c>
      <c r="B29" s="10" t="s">
        <v>14</v>
      </c>
      <c r="C29" s="11">
        <v>10</v>
      </c>
      <c r="D29" s="12" t="s">
        <v>15</v>
      </c>
      <c r="E29" s="9">
        <v>1.1499999999999999</v>
      </c>
      <c r="F29" s="16">
        <f t="shared" si="0"/>
        <v>11.5</v>
      </c>
      <c r="G29" s="45">
        <f t="shared" si="1"/>
        <v>1.35</v>
      </c>
      <c r="H29" s="16">
        <f t="shared" si="2"/>
        <v>13.5</v>
      </c>
      <c r="I29" s="16">
        <v>2</v>
      </c>
      <c r="J29" s="26"/>
      <c r="K29" s="9">
        <f t="shared" si="3"/>
        <v>0</v>
      </c>
      <c r="L29" s="2">
        <f t="shared" si="4"/>
        <v>0</v>
      </c>
    </row>
    <row r="30" spans="1:12" ht="15">
      <c r="A30" s="17" t="s">
        <v>16</v>
      </c>
      <c r="B30" s="10" t="s">
        <v>14</v>
      </c>
      <c r="C30" s="11">
        <v>10</v>
      </c>
      <c r="D30" s="12" t="s">
        <v>17</v>
      </c>
      <c r="E30" s="9">
        <v>1.1499999999999999</v>
      </c>
      <c r="F30" s="16">
        <f t="shared" si="0"/>
        <v>11.5</v>
      </c>
      <c r="G30" s="45">
        <f t="shared" si="1"/>
        <v>1.35</v>
      </c>
      <c r="H30" s="16">
        <f t="shared" si="2"/>
        <v>13.5</v>
      </c>
      <c r="I30" s="16">
        <v>2</v>
      </c>
      <c r="J30" s="26"/>
      <c r="K30" s="9">
        <f t="shared" si="3"/>
        <v>0</v>
      </c>
      <c r="L30" s="2">
        <f t="shared" si="4"/>
        <v>0</v>
      </c>
    </row>
    <row r="31" spans="1:12" ht="15">
      <c r="A31" s="17" t="s">
        <v>18</v>
      </c>
      <c r="B31" s="10" t="s">
        <v>14</v>
      </c>
      <c r="C31" s="11">
        <v>10</v>
      </c>
      <c r="D31" s="12" t="s">
        <v>19</v>
      </c>
      <c r="E31" s="9">
        <v>1.1499999999999999</v>
      </c>
      <c r="F31" s="16">
        <f t="shared" si="0"/>
        <v>11.5</v>
      </c>
      <c r="G31" s="45">
        <f t="shared" si="1"/>
        <v>1.35</v>
      </c>
      <c r="H31" s="16">
        <f t="shared" si="2"/>
        <v>13.5</v>
      </c>
      <c r="I31" s="16">
        <v>2</v>
      </c>
      <c r="J31" s="26"/>
      <c r="K31" s="9">
        <f t="shared" si="3"/>
        <v>0</v>
      </c>
      <c r="L31" s="2">
        <f t="shared" si="4"/>
        <v>0</v>
      </c>
    </row>
    <row r="32" spans="1:12" ht="15">
      <c r="A32" s="17" t="s">
        <v>20</v>
      </c>
      <c r="B32" s="10" t="s">
        <v>14</v>
      </c>
      <c r="C32" s="11">
        <v>10</v>
      </c>
      <c r="D32" s="12" t="s">
        <v>21</v>
      </c>
      <c r="E32" s="9">
        <v>1.1499999999999999</v>
      </c>
      <c r="F32" s="16">
        <f t="shared" si="0"/>
        <v>11.5</v>
      </c>
      <c r="G32" s="45">
        <f t="shared" si="1"/>
        <v>1.35</v>
      </c>
      <c r="H32" s="16">
        <f t="shared" si="2"/>
        <v>13.5</v>
      </c>
      <c r="I32" s="16">
        <v>2</v>
      </c>
      <c r="J32" s="26"/>
      <c r="K32" s="9">
        <f t="shared" si="3"/>
        <v>0</v>
      </c>
      <c r="L32" s="2">
        <f t="shared" si="4"/>
        <v>0</v>
      </c>
    </row>
    <row r="33" spans="1:12" ht="15">
      <c r="A33" s="17" t="s">
        <v>22</v>
      </c>
      <c r="B33" s="10" t="s">
        <v>14</v>
      </c>
      <c r="C33" s="11">
        <v>10</v>
      </c>
      <c r="D33" s="12">
        <v>3497917000990</v>
      </c>
      <c r="E33" s="9">
        <v>1.3</v>
      </c>
      <c r="F33" s="16">
        <f t="shared" si="0"/>
        <v>13</v>
      </c>
      <c r="G33" s="45">
        <f t="shared" si="1"/>
        <v>1.4</v>
      </c>
      <c r="H33" s="16">
        <f t="shared" si="2"/>
        <v>14</v>
      </c>
      <c r="I33" s="16">
        <v>1</v>
      </c>
      <c r="J33" s="26"/>
      <c r="K33" s="9">
        <f t="shared" si="3"/>
        <v>0</v>
      </c>
      <c r="L33" s="2">
        <f t="shared" si="4"/>
        <v>0</v>
      </c>
    </row>
    <row r="34" spans="1:12" ht="15">
      <c r="A34" s="17" t="s">
        <v>23</v>
      </c>
      <c r="B34" s="10" t="s">
        <v>14</v>
      </c>
      <c r="C34" s="11">
        <v>10</v>
      </c>
      <c r="D34" s="12">
        <v>3497917000303</v>
      </c>
      <c r="E34" s="9">
        <v>1.3</v>
      </c>
      <c r="F34" s="16">
        <f t="shared" si="0"/>
        <v>13</v>
      </c>
      <c r="G34" s="45">
        <f t="shared" si="1"/>
        <v>1.4</v>
      </c>
      <c r="H34" s="16">
        <f t="shared" si="2"/>
        <v>14</v>
      </c>
      <c r="I34" s="16">
        <v>1</v>
      </c>
      <c r="J34" s="26"/>
      <c r="K34" s="9">
        <f t="shared" si="3"/>
        <v>0</v>
      </c>
      <c r="L34" s="2">
        <f t="shared" si="4"/>
        <v>0</v>
      </c>
    </row>
    <row r="35" spans="1:12" ht="15">
      <c r="A35" s="17" t="s">
        <v>24</v>
      </c>
      <c r="B35" s="10" t="s">
        <v>14</v>
      </c>
      <c r="C35" s="11">
        <v>10</v>
      </c>
      <c r="D35" s="12">
        <v>3497911123350</v>
      </c>
      <c r="E35" s="9">
        <v>1.3</v>
      </c>
      <c r="F35" s="16">
        <f t="shared" si="0"/>
        <v>13</v>
      </c>
      <c r="G35" s="45">
        <f t="shared" si="1"/>
        <v>1.4</v>
      </c>
      <c r="H35" s="16">
        <f t="shared" si="2"/>
        <v>14</v>
      </c>
      <c r="I35" s="16">
        <v>1</v>
      </c>
      <c r="J35" s="26"/>
      <c r="K35" s="9">
        <f t="shared" si="3"/>
        <v>0</v>
      </c>
      <c r="L35" s="2">
        <f t="shared" si="4"/>
        <v>0</v>
      </c>
    </row>
    <row r="36" spans="1:12" ht="15">
      <c r="A36" s="17" t="s">
        <v>25</v>
      </c>
      <c r="B36" s="10" t="s">
        <v>14</v>
      </c>
      <c r="C36" s="11">
        <v>10</v>
      </c>
      <c r="D36" s="12" t="s">
        <v>26</v>
      </c>
      <c r="E36" s="9">
        <v>1.3</v>
      </c>
      <c r="F36" s="16">
        <f t="shared" si="0"/>
        <v>13</v>
      </c>
      <c r="G36" s="45">
        <f t="shared" si="1"/>
        <v>1.4</v>
      </c>
      <c r="H36" s="16">
        <f t="shared" si="2"/>
        <v>14</v>
      </c>
      <c r="I36" s="16">
        <v>1</v>
      </c>
      <c r="J36" s="26"/>
      <c r="K36" s="9">
        <f t="shared" si="3"/>
        <v>0</v>
      </c>
      <c r="L36" s="2">
        <f t="shared" si="4"/>
        <v>0</v>
      </c>
    </row>
    <row r="37" spans="1:12" ht="15">
      <c r="A37" s="17" t="s">
        <v>27</v>
      </c>
      <c r="B37" s="10" t="s">
        <v>14</v>
      </c>
      <c r="C37" s="11">
        <v>10</v>
      </c>
      <c r="D37" s="12">
        <v>3497911101129</v>
      </c>
      <c r="E37" s="9">
        <v>1.3</v>
      </c>
      <c r="F37" s="16">
        <f t="shared" si="0"/>
        <v>13</v>
      </c>
      <c r="G37" s="45">
        <f t="shared" si="1"/>
        <v>1.4</v>
      </c>
      <c r="H37" s="16">
        <f t="shared" si="2"/>
        <v>14</v>
      </c>
      <c r="I37" s="16">
        <v>1</v>
      </c>
      <c r="J37" s="26"/>
      <c r="K37" s="9">
        <f t="shared" si="3"/>
        <v>0</v>
      </c>
      <c r="L37" s="2">
        <f t="shared" si="4"/>
        <v>0</v>
      </c>
    </row>
    <row r="38" spans="1:12" ht="15">
      <c r="A38" s="17" t="s">
        <v>28</v>
      </c>
      <c r="B38" s="10" t="s">
        <v>14</v>
      </c>
      <c r="C38" s="11">
        <v>10</v>
      </c>
      <c r="D38" s="12">
        <v>3497911105127</v>
      </c>
      <c r="E38" s="9">
        <v>1.3</v>
      </c>
      <c r="F38" s="16">
        <f t="shared" si="0"/>
        <v>13</v>
      </c>
      <c r="G38" s="45">
        <f t="shared" si="1"/>
        <v>1.4</v>
      </c>
      <c r="H38" s="16">
        <f t="shared" si="2"/>
        <v>14</v>
      </c>
      <c r="I38" s="16">
        <v>1</v>
      </c>
      <c r="J38" s="26"/>
      <c r="K38" s="9">
        <f t="shared" si="3"/>
        <v>0</v>
      </c>
      <c r="L38" s="2">
        <f t="shared" si="4"/>
        <v>0</v>
      </c>
    </row>
    <row r="39" spans="1:12" ht="15">
      <c r="A39" s="17" t="s">
        <v>29</v>
      </c>
      <c r="B39" s="10" t="s">
        <v>14</v>
      </c>
      <c r="C39" s="11">
        <v>10</v>
      </c>
      <c r="D39" s="12">
        <v>3497917000914</v>
      </c>
      <c r="E39" s="9">
        <v>1.4</v>
      </c>
      <c r="F39" s="16">
        <f t="shared" si="0"/>
        <v>14</v>
      </c>
      <c r="G39" s="45">
        <f t="shared" si="1"/>
        <v>1.5</v>
      </c>
      <c r="H39" s="16">
        <f t="shared" si="2"/>
        <v>15</v>
      </c>
      <c r="I39" s="16">
        <v>1</v>
      </c>
      <c r="J39" s="26"/>
      <c r="K39" s="9">
        <f t="shared" si="3"/>
        <v>0</v>
      </c>
      <c r="L39" s="2">
        <f t="shared" si="4"/>
        <v>0</v>
      </c>
    </row>
    <row r="40" spans="1:12" ht="15">
      <c r="A40" s="17" t="s">
        <v>30</v>
      </c>
      <c r="B40" s="10" t="s">
        <v>14</v>
      </c>
      <c r="C40" s="11">
        <v>10</v>
      </c>
      <c r="D40" s="12">
        <v>3497917002161</v>
      </c>
      <c r="E40" s="9">
        <v>1.4</v>
      </c>
      <c r="F40" s="16">
        <f t="shared" si="0"/>
        <v>14</v>
      </c>
      <c r="G40" s="45">
        <f t="shared" si="1"/>
        <v>1.5</v>
      </c>
      <c r="H40" s="16">
        <f t="shared" si="2"/>
        <v>15</v>
      </c>
      <c r="I40" s="16">
        <v>1</v>
      </c>
      <c r="J40" s="26"/>
      <c r="K40" s="9">
        <f t="shared" si="3"/>
        <v>0</v>
      </c>
      <c r="L40" s="2">
        <f t="shared" si="4"/>
        <v>0</v>
      </c>
    </row>
    <row r="41" spans="1:12" ht="15">
      <c r="A41" s="17" t="s">
        <v>31</v>
      </c>
      <c r="B41" s="10" t="s">
        <v>14</v>
      </c>
      <c r="C41" s="11">
        <v>10</v>
      </c>
      <c r="D41" s="12">
        <v>3497917002789</v>
      </c>
      <c r="E41" s="9">
        <v>1.4</v>
      </c>
      <c r="F41" s="16">
        <f t="shared" si="0"/>
        <v>14</v>
      </c>
      <c r="G41" s="45">
        <f t="shared" si="1"/>
        <v>1.5</v>
      </c>
      <c r="H41" s="16">
        <f t="shared" si="2"/>
        <v>15</v>
      </c>
      <c r="I41" s="16">
        <v>1</v>
      </c>
      <c r="J41" s="26"/>
      <c r="K41" s="9">
        <f t="shared" si="3"/>
        <v>0</v>
      </c>
      <c r="L41" s="2">
        <f t="shared" si="4"/>
        <v>0</v>
      </c>
    </row>
    <row r="42" spans="1:12" ht="15">
      <c r="A42" s="17" t="s">
        <v>32</v>
      </c>
      <c r="B42" s="10" t="s">
        <v>14</v>
      </c>
      <c r="C42" s="11">
        <v>10</v>
      </c>
      <c r="D42" s="12">
        <v>3497917001928</v>
      </c>
      <c r="E42" s="9">
        <v>1.4</v>
      </c>
      <c r="F42" s="16">
        <f t="shared" si="0"/>
        <v>14</v>
      </c>
      <c r="G42" s="45">
        <f t="shared" si="1"/>
        <v>1.5</v>
      </c>
      <c r="H42" s="16">
        <f t="shared" si="2"/>
        <v>15</v>
      </c>
      <c r="I42" s="16">
        <v>1</v>
      </c>
      <c r="J42" s="26"/>
      <c r="K42" s="9">
        <f t="shared" si="3"/>
        <v>0</v>
      </c>
      <c r="L42" s="2">
        <f t="shared" si="4"/>
        <v>0</v>
      </c>
    </row>
    <row r="43" spans="1:12" ht="15">
      <c r="A43" s="17" t="s">
        <v>33</v>
      </c>
      <c r="B43" s="10" t="s">
        <v>14</v>
      </c>
      <c r="C43" s="11">
        <v>10</v>
      </c>
      <c r="D43" s="12">
        <v>3497917001911</v>
      </c>
      <c r="E43" s="9">
        <v>1.4</v>
      </c>
      <c r="F43" s="16">
        <f t="shared" si="0"/>
        <v>14</v>
      </c>
      <c r="G43" s="45">
        <f t="shared" si="1"/>
        <v>1.5</v>
      </c>
      <c r="H43" s="16">
        <f t="shared" si="2"/>
        <v>15</v>
      </c>
      <c r="I43" s="16">
        <v>1</v>
      </c>
      <c r="J43" s="26"/>
      <c r="K43" s="9">
        <f t="shared" si="3"/>
        <v>0</v>
      </c>
      <c r="L43" s="2">
        <f t="shared" si="4"/>
        <v>0</v>
      </c>
    </row>
    <row r="44" spans="1:12" ht="15">
      <c r="A44" s="17" t="s">
        <v>34</v>
      </c>
      <c r="B44" s="10" t="s">
        <v>14</v>
      </c>
      <c r="C44" s="11">
        <v>10</v>
      </c>
      <c r="D44" s="12">
        <v>3497917000518</v>
      </c>
      <c r="E44" s="9">
        <v>1.4</v>
      </c>
      <c r="F44" s="16">
        <f t="shared" si="0"/>
        <v>14</v>
      </c>
      <c r="G44" s="45">
        <f t="shared" si="1"/>
        <v>1.5</v>
      </c>
      <c r="H44" s="16">
        <f t="shared" si="2"/>
        <v>15</v>
      </c>
      <c r="I44" s="16">
        <v>1</v>
      </c>
      <c r="J44" s="26"/>
      <c r="K44" s="9">
        <f t="shared" si="3"/>
        <v>0</v>
      </c>
      <c r="L44" s="2">
        <f t="shared" si="4"/>
        <v>0</v>
      </c>
    </row>
    <row r="45" spans="1:12" ht="15">
      <c r="A45" s="17" t="s">
        <v>35</v>
      </c>
      <c r="B45" s="10" t="s">
        <v>14</v>
      </c>
      <c r="C45" s="11">
        <v>10</v>
      </c>
      <c r="D45" s="12">
        <v>3497917000907</v>
      </c>
      <c r="E45" s="9">
        <v>1.4</v>
      </c>
      <c r="F45" s="16">
        <f t="shared" si="0"/>
        <v>14</v>
      </c>
      <c r="G45" s="45">
        <f t="shared" si="1"/>
        <v>1.5</v>
      </c>
      <c r="H45" s="16">
        <f t="shared" si="2"/>
        <v>15</v>
      </c>
      <c r="I45" s="16">
        <v>1</v>
      </c>
      <c r="J45" s="26"/>
      <c r="K45" s="9">
        <f t="shared" si="3"/>
        <v>0</v>
      </c>
      <c r="L45" s="2">
        <f t="shared" si="4"/>
        <v>0</v>
      </c>
    </row>
    <row r="46" spans="1:12" ht="15">
      <c r="A46" s="17" t="s">
        <v>36</v>
      </c>
      <c r="B46" s="10" t="s">
        <v>14</v>
      </c>
      <c r="C46" s="11">
        <v>10</v>
      </c>
      <c r="D46" s="12">
        <v>3497917001263</v>
      </c>
      <c r="E46" s="9">
        <v>1.4</v>
      </c>
      <c r="F46" s="16">
        <f t="shared" si="0"/>
        <v>14</v>
      </c>
      <c r="G46" s="45">
        <f t="shared" si="1"/>
        <v>1.5</v>
      </c>
      <c r="H46" s="16">
        <f t="shared" si="2"/>
        <v>15</v>
      </c>
      <c r="I46" s="16">
        <v>1</v>
      </c>
      <c r="J46" s="26"/>
      <c r="K46" s="9">
        <f t="shared" si="3"/>
        <v>0</v>
      </c>
      <c r="L46" s="2">
        <f t="shared" si="4"/>
        <v>0</v>
      </c>
    </row>
    <row r="47" spans="1:12" ht="15">
      <c r="A47" s="17" t="s">
        <v>37</v>
      </c>
      <c r="B47" s="10" t="s">
        <v>14</v>
      </c>
      <c r="C47" s="11">
        <v>10</v>
      </c>
      <c r="D47" s="12">
        <v>3497917002741</v>
      </c>
      <c r="E47" s="9">
        <v>1.4</v>
      </c>
      <c r="F47" s="16">
        <f t="shared" si="0"/>
        <v>14</v>
      </c>
      <c r="G47" s="45">
        <f t="shared" si="1"/>
        <v>1.5</v>
      </c>
      <c r="H47" s="16">
        <f t="shared" si="2"/>
        <v>15</v>
      </c>
      <c r="I47" s="16">
        <v>1</v>
      </c>
      <c r="J47" s="26"/>
      <c r="K47" s="9">
        <f t="shared" si="3"/>
        <v>0</v>
      </c>
      <c r="L47" s="2">
        <f t="shared" si="4"/>
        <v>0</v>
      </c>
    </row>
    <row r="48" spans="1:12" ht="15">
      <c r="A48" s="17" t="s">
        <v>38</v>
      </c>
      <c r="B48" s="10" t="s">
        <v>14</v>
      </c>
      <c r="C48" s="11">
        <v>10</v>
      </c>
      <c r="D48" s="12">
        <v>3497917002352</v>
      </c>
      <c r="E48" s="9">
        <v>1.4</v>
      </c>
      <c r="F48" s="16">
        <f t="shared" si="0"/>
        <v>14</v>
      </c>
      <c r="G48" s="45">
        <f t="shared" si="1"/>
        <v>1.5</v>
      </c>
      <c r="H48" s="16">
        <f t="shared" si="2"/>
        <v>15</v>
      </c>
      <c r="I48" s="16">
        <v>1</v>
      </c>
      <c r="J48" s="26"/>
      <c r="K48" s="9">
        <f t="shared" si="3"/>
        <v>0</v>
      </c>
      <c r="L48" s="2">
        <f t="shared" si="4"/>
        <v>0</v>
      </c>
    </row>
    <row r="49" spans="1:12" ht="15">
      <c r="A49" s="17" t="s">
        <v>39</v>
      </c>
      <c r="B49" s="10" t="s">
        <v>14</v>
      </c>
      <c r="C49" s="11">
        <v>10</v>
      </c>
      <c r="D49" s="12">
        <v>3497917001621</v>
      </c>
      <c r="E49" s="9">
        <v>1.4</v>
      </c>
      <c r="F49" s="16">
        <f t="shared" si="0"/>
        <v>14</v>
      </c>
      <c r="G49" s="45">
        <f t="shared" si="1"/>
        <v>1.5</v>
      </c>
      <c r="H49" s="16">
        <f t="shared" si="2"/>
        <v>15</v>
      </c>
      <c r="I49" s="16">
        <v>1</v>
      </c>
      <c r="J49" s="26"/>
      <c r="K49" s="9">
        <f t="shared" si="3"/>
        <v>0</v>
      </c>
      <c r="L49" s="2">
        <f t="shared" si="4"/>
        <v>0</v>
      </c>
    </row>
    <row r="50" spans="1:12" ht="15">
      <c r="A50" s="17" t="s">
        <v>40</v>
      </c>
      <c r="B50" s="10" t="s">
        <v>14</v>
      </c>
      <c r="C50" s="11">
        <v>10</v>
      </c>
      <c r="D50" s="12">
        <v>3497917000938</v>
      </c>
      <c r="E50" s="9">
        <v>1.5</v>
      </c>
      <c r="F50" s="16">
        <f t="shared" si="0"/>
        <v>15</v>
      </c>
      <c r="G50" s="45">
        <f t="shared" si="1"/>
        <v>1.6</v>
      </c>
      <c r="H50" s="16">
        <f t="shared" si="2"/>
        <v>16</v>
      </c>
      <c r="I50" s="16">
        <v>1</v>
      </c>
      <c r="J50" s="26"/>
      <c r="K50" s="9">
        <f t="shared" si="3"/>
        <v>0</v>
      </c>
      <c r="L50" s="2">
        <f t="shared" si="4"/>
        <v>0</v>
      </c>
    </row>
    <row r="51" spans="1:12" ht="15">
      <c r="A51" s="17" t="s">
        <v>41</v>
      </c>
      <c r="B51" s="10" t="s">
        <v>14</v>
      </c>
      <c r="C51" s="11">
        <v>10</v>
      </c>
      <c r="D51" s="12">
        <v>3497917003151</v>
      </c>
      <c r="E51" s="9">
        <v>1.5</v>
      </c>
      <c r="F51" s="16">
        <f t="shared" si="0"/>
        <v>15</v>
      </c>
      <c r="G51" s="45">
        <f t="shared" si="1"/>
        <v>1.6</v>
      </c>
      <c r="H51" s="16">
        <f t="shared" si="2"/>
        <v>16</v>
      </c>
      <c r="I51" s="16">
        <v>1</v>
      </c>
      <c r="J51" s="26"/>
      <c r="K51" s="9">
        <f t="shared" si="3"/>
        <v>0</v>
      </c>
      <c r="L51" s="2">
        <f t="shared" si="4"/>
        <v>0</v>
      </c>
    </row>
    <row r="52" spans="1:12" ht="15">
      <c r="A52" s="17" t="s">
        <v>42</v>
      </c>
      <c r="B52" s="10" t="s">
        <v>14</v>
      </c>
      <c r="C52" s="11">
        <v>10</v>
      </c>
      <c r="D52" s="12">
        <v>3497917003168</v>
      </c>
      <c r="E52" s="9">
        <v>1.5</v>
      </c>
      <c r="F52" s="16">
        <f t="shared" si="0"/>
        <v>15</v>
      </c>
      <c r="G52" s="45">
        <f t="shared" si="1"/>
        <v>1.6</v>
      </c>
      <c r="H52" s="16">
        <f t="shared" si="2"/>
        <v>16</v>
      </c>
      <c r="I52" s="16">
        <v>1</v>
      </c>
      <c r="J52" s="26"/>
      <c r="K52" s="9">
        <f t="shared" si="3"/>
        <v>0</v>
      </c>
      <c r="L52" s="2">
        <f t="shared" si="4"/>
        <v>0</v>
      </c>
    </row>
    <row r="53" spans="1:12" ht="15">
      <c r="A53" s="17" t="s">
        <v>43</v>
      </c>
      <c r="B53" s="10" t="s">
        <v>14</v>
      </c>
      <c r="C53" s="11">
        <v>10</v>
      </c>
      <c r="D53" s="12">
        <v>3497917003380</v>
      </c>
      <c r="E53" s="9">
        <v>1.5</v>
      </c>
      <c r="F53" s="16">
        <f t="shared" si="0"/>
        <v>15</v>
      </c>
      <c r="G53" s="45">
        <f t="shared" si="1"/>
        <v>1.6</v>
      </c>
      <c r="H53" s="16">
        <f t="shared" si="2"/>
        <v>16</v>
      </c>
      <c r="I53" s="16">
        <v>1</v>
      </c>
      <c r="J53" s="26"/>
      <c r="K53" s="9">
        <f t="shared" si="3"/>
        <v>0</v>
      </c>
      <c r="L53" s="2">
        <f t="shared" si="4"/>
        <v>0</v>
      </c>
    </row>
    <row r="54" spans="1:12" ht="15">
      <c r="A54" s="17" t="s">
        <v>44</v>
      </c>
      <c r="B54" s="10" t="s">
        <v>14</v>
      </c>
      <c r="C54" s="11">
        <v>10</v>
      </c>
      <c r="D54" s="12">
        <v>3497917003540</v>
      </c>
      <c r="E54" s="9">
        <v>1.5</v>
      </c>
      <c r="F54" s="16">
        <f t="shared" si="0"/>
        <v>15</v>
      </c>
      <c r="G54" s="45">
        <f t="shared" si="1"/>
        <v>1.6</v>
      </c>
      <c r="H54" s="16">
        <f t="shared" si="2"/>
        <v>16</v>
      </c>
      <c r="I54" s="16">
        <v>1</v>
      </c>
      <c r="J54" s="26"/>
      <c r="K54" s="9">
        <f t="shared" si="3"/>
        <v>0</v>
      </c>
      <c r="L54" s="2">
        <f t="shared" si="4"/>
        <v>0</v>
      </c>
    </row>
    <row r="55" spans="1:12" ht="15">
      <c r="A55" s="17" t="s">
        <v>45</v>
      </c>
      <c r="B55" s="10" t="s">
        <v>14</v>
      </c>
      <c r="C55" s="11">
        <v>10</v>
      </c>
      <c r="D55" s="12">
        <v>3497917003564</v>
      </c>
      <c r="E55" s="9">
        <v>1.5</v>
      </c>
      <c r="F55" s="16">
        <f t="shared" si="0"/>
        <v>15</v>
      </c>
      <c r="G55" s="45">
        <f t="shared" si="1"/>
        <v>1.6</v>
      </c>
      <c r="H55" s="16">
        <f t="shared" si="2"/>
        <v>16</v>
      </c>
      <c r="I55" s="16">
        <v>1</v>
      </c>
      <c r="J55" s="26"/>
      <c r="K55" s="9">
        <f t="shared" si="3"/>
        <v>0</v>
      </c>
      <c r="L55" s="2">
        <f t="shared" si="4"/>
        <v>0</v>
      </c>
    </row>
    <row r="56" spans="1:12" ht="15">
      <c r="A56" s="17" t="s">
        <v>46</v>
      </c>
      <c r="B56" s="10" t="s">
        <v>14</v>
      </c>
      <c r="C56" s="11">
        <v>10</v>
      </c>
      <c r="D56" s="12">
        <v>3497917003588</v>
      </c>
      <c r="E56" s="9">
        <v>1.5</v>
      </c>
      <c r="F56" s="16">
        <f t="shared" si="0"/>
        <v>15</v>
      </c>
      <c r="G56" s="45">
        <f t="shared" si="1"/>
        <v>1.6</v>
      </c>
      <c r="H56" s="16">
        <f t="shared" si="2"/>
        <v>16</v>
      </c>
      <c r="I56" s="16">
        <v>1</v>
      </c>
      <c r="J56" s="26"/>
      <c r="K56" s="9">
        <f t="shared" si="3"/>
        <v>0</v>
      </c>
      <c r="L56" s="2">
        <f t="shared" si="4"/>
        <v>0</v>
      </c>
    </row>
    <row r="57" spans="1:12" ht="15">
      <c r="A57" s="17" t="s">
        <v>47</v>
      </c>
      <c r="B57" s="10" t="s">
        <v>14</v>
      </c>
      <c r="C57" s="11">
        <v>10</v>
      </c>
      <c r="D57" s="12">
        <v>3497917003823</v>
      </c>
      <c r="E57" s="9">
        <v>1.5</v>
      </c>
      <c r="F57" s="16">
        <f t="shared" si="0"/>
        <v>15</v>
      </c>
      <c r="G57" s="45">
        <f t="shared" si="1"/>
        <v>1.6</v>
      </c>
      <c r="H57" s="16">
        <f t="shared" si="2"/>
        <v>16</v>
      </c>
      <c r="I57" s="16">
        <v>1</v>
      </c>
      <c r="J57" s="26"/>
      <c r="K57" s="9">
        <f t="shared" si="3"/>
        <v>0</v>
      </c>
      <c r="L57" s="2">
        <f t="shared" si="4"/>
        <v>0</v>
      </c>
    </row>
    <row r="58" spans="1:12" ht="15">
      <c r="A58" s="17" t="s">
        <v>48</v>
      </c>
      <c r="B58" s="10" t="s">
        <v>14</v>
      </c>
      <c r="C58" s="11">
        <v>10</v>
      </c>
      <c r="D58" s="12">
        <v>3497917003809</v>
      </c>
      <c r="E58" s="9">
        <v>1.5</v>
      </c>
      <c r="F58" s="16">
        <f t="shared" si="0"/>
        <v>15</v>
      </c>
      <c r="G58" s="45">
        <f t="shared" si="1"/>
        <v>1.6</v>
      </c>
      <c r="H58" s="16">
        <f t="shared" si="2"/>
        <v>16</v>
      </c>
      <c r="I58" s="16">
        <v>1</v>
      </c>
      <c r="J58" s="26"/>
      <c r="K58" s="9">
        <f t="shared" si="3"/>
        <v>0</v>
      </c>
      <c r="L58" s="2">
        <f t="shared" si="4"/>
        <v>0</v>
      </c>
    </row>
    <row r="59" spans="1:12" ht="15">
      <c r="A59" s="17" t="s">
        <v>49</v>
      </c>
      <c r="B59" s="10" t="s">
        <v>14</v>
      </c>
      <c r="C59" s="11">
        <v>10</v>
      </c>
      <c r="D59" s="12">
        <v>3497917003816</v>
      </c>
      <c r="E59" s="9">
        <v>1.5</v>
      </c>
      <c r="F59" s="16">
        <f t="shared" si="0"/>
        <v>15</v>
      </c>
      <c r="G59" s="45">
        <f t="shared" si="1"/>
        <v>1.6</v>
      </c>
      <c r="H59" s="16">
        <f t="shared" si="2"/>
        <v>16</v>
      </c>
      <c r="I59" s="16">
        <v>1</v>
      </c>
      <c r="J59" s="26"/>
      <c r="K59" s="9">
        <f t="shared" si="3"/>
        <v>0</v>
      </c>
      <c r="L59" s="2">
        <f t="shared" si="4"/>
        <v>0</v>
      </c>
    </row>
    <row r="60" spans="1:12" ht="15">
      <c r="A60" s="17" t="s">
        <v>50</v>
      </c>
      <c r="B60" s="10" t="s">
        <v>14</v>
      </c>
      <c r="C60" s="11">
        <v>10</v>
      </c>
      <c r="D60" s="12">
        <v>3497917003854</v>
      </c>
      <c r="E60" s="9">
        <v>1.5</v>
      </c>
      <c r="F60" s="16">
        <f t="shared" si="0"/>
        <v>15</v>
      </c>
      <c r="G60" s="45">
        <f t="shared" si="1"/>
        <v>1.6</v>
      </c>
      <c r="H60" s="16">
        <f t="shared" si="2"/>
        <v>16</v>
      </c>
      <c r="I60" s="16">
        <v>1</v>
      </c>
      <c r="J60" s="26"/>
      <c r="K60" s="9">
        <f t="shared" si="3"/>
        <v>0</v>
      </c>
      <c r="L60" s="2">
        <f t="shared" si="4"/>
        <v>0</v>
      </c>
    </row>
    <row r="61" spans="1:12" ht="15">
      <c r="A61" s="17" t="s">
        <v>51</v>
      </c>
      <c r="B61" s="10" t="s">
        <v>14</v>
      </c>
      <c r="C61" s="11">
        <v>10</v>
      </c>
      <c r="D61" s="12">
        <v>3497917003830</v>
      </c>
      <c r="E61" s="9">
        <v>1.5</v>
      </c>
      <c r="F61" s="16">
        <f t="shared" si="0"/>
        <v>15</v>
      </c>
      <c r="G61" s="45">
        <f t="shared" si="1"/>
        <v>1.6</v>
      </c>
      <c r="H61" s="16">
        <f t="shared" si="2"/>
        <v>16</v>
      </c>
      <c r="I61" s="16">
        <v>1</v>
      </c>
      <c r="J61" s="26"/>
      <c r="K61" s="9">
        <f t="shared" si="3"/>
        <v>0</v>
      </c>
      <c r="L61" s="2">
        <f t="shared" si="4"/>
        <v>0</v>
      </c>
    </row>
    <row r="62" spans="1:12" ht="15">
      <c r="A62" s="17" t="s">
        <v>52</v>
      </c>
      <c r="B62" s="10" t="s">
        <v>14</v>
      </c>
      <c r="C62" s="11">
        <v>10</v>
      </c>
      <c r="D62" s="12">
        <v>3497917003847</v>
      </c>
      <c r="E62" s="9">
        <v>1.5</v>
      </c>
      <c r="F62" s="16">
        <f t="shared" si="0"/>
        <v>15</v>
      </c>
      <c r="G62" s="45">
        <f t="shared" si="1"/>
        <v>1.6</v>
      </c>
      <c r="H62" s="16">
        <f t="shared" si="2"/>
        <v>16</v>
      </c>
      <c r="I62" s="16">
        <v>1</v>
      </c>
      <c r="J62" s="26"/>
      <c r="K62" s="9">
        <f t="shared" si="3"/>
        <v>0</v>
      </c>
      <c r="L62" s="2">
        <f t="shared" si="4"/>
        <v>0</v>
      </c>
    </row>
    <row r="63" spans="1:12" ht="15.75" thickBot="1">
      <c r="A63" s="20"/>
      <c r="B63" s="10"/>
      <c r="C63" s="11"/>
      <c r="D63" s="12"/>
      <c r="E63" s="9"/>
      <c r="F63" s="16"/>
      <c r="G63" s="45"/>
      <c r="H63" s="16"/>
      <c r="I63" s="16"/>
      <c r="J63" s="26"/>
      <c r="K63" s="9"/>
      <c r="L63" s="2">
        <f t="shared" si="4"/>
        <v>0</v>
      </c>
    </row>
    <row r="64" spans="1:12" ht="15.75" thickBot="1">
      <c r="A64" s="21" t="s">
        <v>84</v>
      </c>
      <c r="B64" s="22"/>
      <c r="C64" s="11"/>
      <c r="D64" s="12"/>
      <c r="E64" s="9"/>
      <c r="F64" s="16"/>
      <c r="G64" s="45"/>
      <c r="H64" s="16"/>
      <c r="I64" s="16"/>
      <c r="J64" s="26"/>
      <c r="K64" s="9"/>
      <c r="L64" s="2">
        <f t="shared" si="4"/>
        <v>0</v>
      </c>
    </row>
    <row r="65" spans="1:12" ht="15">
      <c r="A65" s="42" t="s">
        <v>53</v>
      </c>
      <c r="B65" s="10" t="s">
        <v>14</v>
      </c>
      <c r="C65" s="11">
        <v>10</v>
      </c>
      <c r="D65" s="18">
        <v>3497917004226</v>
      </c>
      <c r="E65" s="9">
        <v>1.5</v>
      </c>
      <c r="F65" s="16">
        <f t="shared" si="0"/>
        <v>15</v>
      </c>
      <c r="G65" s="45">
        <f t="shared" si="1"/>
        <v>1.6</v>
      </c>
      <c r="H65" s="16">
        <f t="shared" si="2"/>
        <v>16</v>
      </c>
      <c r="I65" s="16">
        <v>1</v>
      </c>
      <c r="J65" s="26"/>
      <c r="K65" s="9">
        <f t="shared" si="3"/>
        <v>0</v>
      </c>
      <c r="L65" s="2">
        <f t="shared" si="4"/>
        <v>0</v>
      </c>
    </row>
    <row r="66" spans="1:12" ht="15">
      <c r="A66" s="30" t="s">
        <v>54</v>
      </c>
      <c r="B66" s="10" t="s">
        <v>14</v>
      </c>
      <c r="C66" s="11">
        <v>10</v>
      </c>
      <c r="D66" s="12">
        <v>3497917004233</v>
      </c>
      <c r="E66" s="9">
        <v>1.5</v>
      </c>
      <c r="F66" s="16">
        <f t="shared" si="0"/>
        <v>15</v>
      </c>
      <c r="G66" s="45">
        <f t="shared" si="1"/>
        <v>1.6</v>
      </c>
      <c r="H66" s="16">
        <f t="shared" si="2"/>
        <v>16</v>
      </c>
      <c r="I66" s="16">
        <v>1</v>
      </c>
      <c r="J66" s="26"/>
      <c r="K66" s="9">
        <f t="shared" si="3"/>
        <v>0</v>
      </c>
      <c r="L66" s="2">
        <f t="shared" si="4"/>
        <v>0</v>
      </c>
    </row>
    <row r="67" spans="1:12" ht="15">
      <c r="A67" s="30" t="s">
        <v>55</v>
      </c>
      <c r="B67" s="10" t="s">
        <v>14</v>
      </c>
      <c r="C67" s="11">
        <v>10</v>
      </c>
      <c r="D67" s="12">
        <v>3497917004325</v>
      </c>
      <c r="E67" s="9">
        <v>1.5</v>
      </c>
      <c r="F67" s="16">
        <f t="shared" si="0"/>
        <v>15</v>
      </c>
      <c r="G67" s="45">
        <f t="shared" si="1"/>
        <v>1.6</v>
      </c>
      <c r="H67" s="16">
        <f t="shared" si="2"/>
        <v>16</v>
      </c>
      <c r="I67" s="16">
        <v>1</v>
      </c>
      <c r="J67" s="26"/>
      <c r="K67" s="9">
        <f t="shared" si="3"/>
        <v>0</v>
      </c>
      <c r="L67" s="2">
        <f t="shared" si="4"/>
        <v>0</v>
      </c>
    </row>
    <row r="68" spans="1:12" ht="15">
      <c r="A68" s="30" t="s">
        <v>56</v>
      </c>
      <c r="B68" s="10" t="s">
        <v>14</v>
      </c>
      <c r="C68" s="11">
        <v>10</v>
      </c>
      <c r="D68" s="12">
        <v>3497917004257</v>
      </c>
      <c r="E68" s="9">
        <v>1.5</v>
      </c>
      <c r="F68" s="16">
        <f t="shared" si="0"/>
        <v>15</v>
      </c>
      <c r="G68" s="45">
        <f t="shared" si="1"/>
        <v>1.6</v>
      </c>
      <c r="H68" s="16">
        <f t="shared" si="2"/>
        <v>16</v>
      </c>
      <c r="I68" s="16">
        <v>1</v>
      </c>
      <c r="J68" s="26"/>
      <c r="K68" s="9">
        <f t="shared" si="3"/>
        <v>0</v>
      </c>
      <c r="L68" s="2">
        <f t="shared" si="4"/>
        <v>0</v>
      </c>
    </row>
    <row r="69" spans="1:12" ht="15">
      <c r="A69" s="30" t="s">
        <v>57</v>
      </c>
      <c r="B69" s="10" t="s">
        <v>14</v>
      </c>
      <c r="C69" s="11">
        <v>10</v>
      </c>
      <c r="D69" s="12">
        <v>3497917004264</v>
      </c>
      <c r="E69" s="9">
        <v>1.5</v>
      </c>
      <c r="F69" s="16">
        <f t="shared" si="0"/>
        <v>15</v>
      </c>
      <c r="G69" s="45">
        <f t="shared" si="1"/>
        <v>1.6</v>
      </c>
      <c r="H69" s="16">
        <f t="shared" si="2"/>
        <v>16</v>
      </c>
      <c r="I69" s="16">
        <v>1</v>
      </c>
      <c r="J69" s="26"/>
      <c r="K69" s="9">
        <f t="shared" si="3"/>
        <v>0</v>
      </c>
      <c r="L69" s="2">
        <f t="shared" si="4"/>
        <v>0</v>
      </c>
    </row>
    <row r="70" spans="1:12" ht="15">
      <c r="A70" s="30" t="s">
        <v>58</v>
      </c>
      <c r="B70" s="10" t="s">
        <v>14</v>
      </c>
      <c r="C70" s="11">
        <v>10</v>
      </c>
      <c r="D70" s="12">
        <v>3497917004271</v>
      </c>
      <c r="E70" s="9">
        <v>1.5</v>
      </c>
      <c r="F70" s="16">
        <f t="shared" si="0"/>
        <v>15</v>
      </c>
      <c r="G70" s="45">
        <f t="shared" si="1"/>
        <v>1.6</v>
      </c>
      <c r="H70" s="16">
        <f t="shared" si="2"/>
        <v>16</v>
      </c>
      <c r="I70" s="16">
        <v>1</v>
      </c>
      <c r="J70" s="26"/>
      <c r="K70" s="9">
        <f t="shared" si="3"/>
        <v>0</v>
      </c>
      <c r="L70" s="2">
        <f t="shared" si="4"/>
        <v>0</v>
      </c>
    </row>
    <row r="71" spans="1:12" ht="15">
      <c r="A71" s="31" t="s">
        <v>59</v>
      </c>
      <c r="B71" s="10" t="s">
        <v>14</v>
      </c>
      <c r="C71" s="11">
        <v>10</v>
      </c>
      <c r="D71" s="12">
        <v>3497917004240</v>
      </c>
      <c r="E71" s="9">
        <v>2.7</v>
      </c>
      <c r="F71" s="16">
        <f t="shared" si="0"/>
        <v>27</v>
      </c>
      <c r="G71" s="45">
        <f t="shared" si="1"/>
        <v>2.8</v>
      </c>
      <c r="H71" s="16">
        <f t="shared" si="2"/>
        <v>28</v>
      </c>
      <c r="I71" s="16">
        <v>1</v>
      </c>
      <c r="J71" s="26"/>
      <c r="K71" s="9">
        <f t="shared" si="3"/>
        <v>0</v>
      </c>
      <c r="L71" s="2">
        <f t="shared" si="4"/>
        <v>0</v>
      </c>
    </row>
    <row r="72" spans="1:12" ht="15">
      <c r="A72" s="31" t="s">
        <v>60</v>
      </c>
      <c r="B72" s="10" t="s">
        <v>14</v>
      </c>
      <c r="C72" s="11">
        <v>10</v>
      </c>
      <c r="D72" s="12">
        <v>3497917004738</v>
      </c>
      <c r="E72" s="9">
        <v>2.7</v>
      </c>
      <c r="F72" s="16">
        <f t="shared" si="0"/>
        <v>27</v>
      </c>
      <c r="G72" s="45">
        <f t="shared" si="1"/>
        <v>2.8</v>
      </c>
      <c r="H72" s="16">
        <f t="shared" si="2"/>
        <v>28</v>
      </c>
      <c r="I72" s="16">
        <v>1</v>
      </c>
      <c r="J72" s="26"/>
      <c r="K72" s="9">
        <f t="shared" si="3"/>
        <v>0</v>
      </c>
      <c r="L72" s="2">
        <f t="shared" si="4"/>
        <v>0</v>
      </c>
    </row>
    <row r="73" spans="1:12" ht="15.75" thickBot="1">
      <c r="A73" s="41"/>
      <c r="B73" s="10"/>
      <c r="C73" s="11"/>
      <c r="D73" s="12"/>
      <c r="E73" s="9"/>
      <c r="F73" s="16"/>
      <c r="G73" s="45"/>
      <c r="H73" s="16"/>
      <c r="I73" s="16"/>
      <c r="J73" s="26"/>
      <c r="K73" s="9"/>
      <c r="L73" s="2">
        <f t="shared" si="4"/>
        <v>0</v>
      </c>
    </row>
    <row r="74" spans="1:12" ht="15.75" thickBot="1">
      <c r="A74" s="43" t="s">
        <v>61</v>
      </c>
      <c r="B74" s="22"/>
      <c r="C74" s="11"/>
      <c r="D74" s="12"/>
      <c r="E74" s="9"/>
      <c r="F74" s="16"/>
      <c r="G74" s="45"/>
      <c r="H74" s="16"/>
      <c r="I74" s="16"/>
      <c r="J74" s="26"/>
      <c r="K74" s="9"/>
      <c r="L74" s="2">
        <f t="shared" si="4"/>
        <v>0</v>
      </c>
    </row>
    <row r="75" spans="1:12" ht="15">
      <c r="A75" s="3" t="s">
        <v>62</v>
      </c>
      <c r="B75" s="10" t="s">
        <v>63</v>
      </c>
      <c r="C75" s="11">
        <v>10</v>
      </c>
      <c r="D75" s="19">
        <v>3497917003618</v>
      </c>
      <c r="E75" s="9">
        <v>1.75</v>
      </c>
      <c r="F75" s="16">
        <f t="shared" si="0"/>
        <v>17.5</v>
      </c>
      <c r="G75" s="45">
        <f t="shared" si="1"/>
        <v>1.85</v>
      </c>
      <c r="H75" s="16">
        <f t="shared" si="2"/>
        <v>18.5</v>
      </c>
      <c r="I75" s="16">
        <v>1</v>
      </c>
      <c r="J75" s="26"/>
      <c r="K75" s="9">
        <f t="shared" si="3"/>
        <v>0</v>
      </c>
      <c r="L75" s="2">
        <f t="shared" si="4"/>
        <v>0</v>
      </c>
    </row>
    <row r="76" spans="1:12" ht="20.25" customHeight="1">
      <c r="A76" s="17" t="s">
        <v>64</v>
      </c>
      <c r="B76" s="10" t="s">
        <v>63</v>
      </c>
      <c r="C76" s="11">
        <v>10</v>
      </c>
      <c r="D76" s="12">
        <v>3497917003694</v>
      </c>
      <c r="E76" s="9">
        <v>1.95</v>
      </c>
      <c r="F76" s="16">
        <f t="shared" si="0"/>
        <v>19.5</v>
      </c>
      <c r="G76" s="45">
        <f t="shared" si="1"/>
        <v>2.0499999999999998</v>
      </c>
      <c r="H76" s="16">
        <f t="shared" si="2"/>
        <v>20.5</v>
      </c>
      <c r="I76" s="16">
        <v>1</v>
      </c>
      <c r="J76" s="26"/>
      <c r="K76" s="9">
        <f t="shared" si="3"/>
        <v>0</v>
      </c>
      <c r="L76" s="2">
        <f t="shared" si="4"/>
        <v>0</v>
      </c>
    </row>
    <row r="77" spans="1:12" ht="15.75" thickBot="1">
      <c r="A77" s="20" t="s">
        <v>65</v>
      </c>
      <c r="B77" s="10"/>
      <c r="C77" s="11"/>
      <c r="D77" s="12"/>
      <c r="E77" s="9"/>
      <c r="F77" s="16"/>
      <c r="G77" s="45"/>
      <c r="H77" s="16"/>
      <c r="I77" s="16"/>
      <c r="J77" s="26"/>
      <c r="K77" s="9"/>
      <c r="L77" s="2">
        <f t="shared" si="4"/>
        <v>0</v>
      </c>
    </row>
    <row r="78" spans="1:12" ht="15.75" thickBot="1">
      <c r="A78" s="21" t="s">
        <v>66</v>
      </c>
      <c r="B78" s="22"/>
      <c r="C78" s="11"/>
      <c r="D78" s="12"/>
      <c r="E78" s="9"/>
      <c r="F78" s="16"/>
      <c r="G78" s="45"/>
      <c r="H78" s="16"/>
      <c r="I78" s="16"/>
      <c r="J78" s="26"/>
      <c r="K78" s="9"/>
      <c r="L78" s="2">
        <f t="shared" si="4"/>
        <v>0</v>
      </c>
    </row>
    <row r="79" spans="1:12" ht="15">
      <c r="A79" s="3" t="s">
        <v>67</v>
      </c>
      <c r="B79" s="10" t="s">
        <v>68</v>
      </c>
      <c r="C79" s="11">
        <v>10</v>
      </c>
      <c r="D79" s="12">
        <v>3497914000009</v>
      </c>
      <c r="E79" s="9">
        <v>1.7</v>
      </c>
      <c r="F79" s="16">
        <f t="shared" si="0"/>
        <v>17</v>
      </c>
      <c r="G79" s="45">
        <f t="shared" si="1"/>
        <v>1.8</v>
      </c>
      <c r="H79" s="16">
        <f t="shared" si="2"/>
        <v>18</v>
      </c>
      <c r="I79" s="16">
        <v>1</v>
      </c>
      <c r="J79" s="26"/>
      <c r="K79" s="9">
        <f t="shared" si="3"/>
        <v>0</v>
      </c>
      <c r="L79" s="2">
        <f t="shared" si="4"/>
        <v>0</v>
      </c>
    </row>
    <row r="80" spans="1:12" ht="15">
      <c r="A80" s="17" t="s">
        <v>69</v>
      </c>
      <c r="B80" s="10" t="s">
        <v>68</v>
      </c>
      <c r="C80" s="11">
        <v>10</v>
      </c>
      <c r="D80" s="12">
        <v>3497917000792</v>
      </c>
      <c r="E80" s="9">
        <v>1.9</v>
      </c>
      <c r="F80" s="16">
        <f t="shared" si="0"/>
        <v>19</v>
      </c>
      <c r="G80" s="45">
        <f t="shared" si="1"/>
        <v>2</v>
      </c>
      <c r="H80" s="16">
        <f t="shared" si="2"/>
        <v>20</v>
      </c>
      <c r="I80" s="16">
        <v>1</v>
      </c>
      <c r="J80" s="26"/>
      <c r="K80" s="9">
        <f t="shared" si="3"/>
        <v>0</v>
      </c>
      <c r="L80" s="2">
        <f t="shared" si="4"/>
        <v>0</v>
      </c>
    </row>
    <row r="81" spans="1:12" ht="15.75" thickBot="1">
      <c r="A81" s="23"/>
      <c r="B81" s="24"/>
      <c r="C81" s="24"/>
      <c r="D81" s="25"/>
      <c r="E81" s="9"/>
      <c r="F81" s="16"/>
      <c r="G81" s="45"/>
      <c r="H81" s="16"/>
      <c r="I81" s="16"/>
      <c r="J81" s="26"/>
      <c r="K81" s="9">
        <f t="shared" ref="K81:K89" si="5">J81*H82</f>
        <v>0</v>
      </c>
      <c r="L81" s="2">
        <f t="shared" ref="L81:L89" si="6">J81*I81</f>
        <v>0</v>
      </c>
    </row>
    <row r="82" spans="1:12" ht="15.75" thickBot="1">
      <c r="A82" s="21" t="s">
        <v>70</v>
      </c>
      <c r="B82" s="22"/>
      <c r="C82" s="11"/>
      <c r="D82" s="12"/>
      <c r="E82" s="9"/>
      <c r="F82" s="16"/>
      <c r="G82" s="45"/>
      <c r="H82" s="16">
        <f t="shared" ref="H82:H89" si="7">F82+I82</f>
        <v>0</v>
      </c>
      <c r="I82" s="16"/>
      <c r="J82" s="26"/>
      <c r="K82" s="9"/>
      <c r="L82" s="2">
        <f t="shared" si="6"/>
        <v>0</v>
      </c>
    </row>
    <row r="83" spans="1:12" ht="15">
      <c r="A83" s="3" t="s">
        <v>71</v>
      </c>
      <c r="B83" s="10" t="s">
        <v>63</v>
      </c>
      <c r="C83" s="11">
        <v>10</v>
      </c>
      <c r="D83" s="12">
        <v>3497917002451</v>
      </c>
      <c r="E83" s="9">
        <v>2.65</v>
      </c>
      <c r="F83" s="16">
        <f t="shared" ref="F83:F89" si="8">E83*C83</f>
        <v>26.5</v>
      </c>
      <c r="G83" s="45">
        <f t="shared" ref="G83:G89" si="9">H83/C83</f>
        <v>2.75</v>
      </c>
      <c r="H83" s="16">
        <f t="shared" si="7"/>
        <v>27.5</v>
      </c>
      <c r="I83" s="16">
        <v>1</v>
      </c>
      <c r="J83" s="26"/>
      <c r="K83" s="9">
        <f t="shared" si="5"/>
        <v>0</v>
      </c>
      <c r="L83" s="2">
        <f t="shared" si="6"/>
        <v>0</v>
      </c>
    </row>
    <row r="84" spans="1:12" ht="15">
      <c r="A84" s="17" t="s">
        <v>72</v>
      </c>
      <c r="B84" s="10" t="s">
        <v>63</v>
      </c>
      <c r="C84" s="11">
        <v>10</v>
      </c>
      <c r="D84" s="12">
        <v>3497917002475</v>
      </c>
      <c r="E84" s="9">
        <v>2.65</v>
      </c>
      <c r="F84" s="16">
        <f t="shared" si="8"/>
        <v>26.5</v>
      </c>
      <c r="G84" s="45">
        <f t="shared" si="9"/>
        <v>2.75</v>
      </c>
      <c r="H84" s="16">
        <f t="shared" si="7"/>
        <v>27.5</v>
      </c>
      <c r="I84" s="16">
        <v>1</v>
      </c>
      <c r="J84" s="26"/>
      <c r="K84" s="9">
        <f t="shared" si="5"/>
        <v>0</v>
      </c>
      <c r="L84" s="2">
        <f t="shared" si="6"/>
        <v>0</v>
      </c>
    </row>
    <row r="85" spans="1:12" ht="15.75" thickBot="1">
      <c r="A85" s="20"/>
      <c r="B85" s="10"/>
      <c r="C85" s="11"/>
      <c r="D85" s="12"/>
      <c r="E85" s="9"/>
      <c r="F85" s="16"/>
      <c r="G85" s="45"/>
      <c r="H85" s="16"/>
      <c r="I85" s="16"/>
      <c r="J85" s="26"/>
      <c r="K85" s="9">
        <f t="shared" si="5"/>
        <v>0</v>
      </c>
      <c r="L85" s="2">
        <f t="shared" si="6"/>
        <v>0</v>
      </c>
    </row>
    <row r="86" spans="1:12" ht="15.75" thickBot="1">
      <c r="A86" s="21" t="s">
        <v>73</v>
      </c>
      <c r="B86" s="22"/>
      <c r="C86" s="11"/>
      <c r="D86" s="12"/>
      <c r="E86" s="9"/>
      <c r="F86" s="16"/>
      <c r="G86" s="45"/>
      <c r="H86" s="16"/>
      <c r="I86" s="16"/>
      <c r="J86" s="26"/>
      <c r="K86" s="9"/>
      <c r="L86" s="2">
        <f t="shared" si="6"/>
        <v>0</v>
      </c>
    </row>
    <row r="87" spans="1:12" ht="15">
      <c r="A87" s="3" t="s">
        <v>74</v>
      </c>
      <c r="B87" s="10" t="s">
        <v>75</v>
      </c>
      <c r="C87" s="11">
        <v>8</v>
      </c>
      <c r="D87" s="12">
        <v>3760326670079</v>
      </c>
      <c r="E87" s="9">
        <v>2.4</v>
      </c>
      <c r="F87" s="16">
        <f t="shared" si="8"/>
        <v>19.2</v>
      </c>
      <c r="G87" s="45">
        <f t="shared" si="9"/>
        <v>2.5249999999999999</v>
      </c>
      <c r="H87" s="16">
        <f t="shared" si="7"/>
        <v>20.2</v>
      </c>
      <c r="I87" s="16">
        <v>1</v>
      </c>
      <c r="J87" s="26"/>
      <c r="K87" s="9">
        <f t="shared" si="5"/>
        <v>0</v>
      </c>
      <c r="L87" s="2">
        <f t="shared" si="6"/>
        <v>0</v>
      </c>
    </row>
    <row r="88" spans="1:12" ht="15">
      <c r="A88" s="17" t="s">
        <v>76</v>
      </c>
      <c r="B88" s="10" t="s">
        <v>75</v>
      </c>
      <c r="C88" s="11">
        <v>8</v>
      </c>
      <c r="D88" s="12">
        <v>3760326670093</v>
      </c>
      <c r="E88" s="9">
        <v>2.5</v>
      </c>
      <c r="F88" s="16">
        <f t="shared" si="8"/>
        <v>20</v>
      </c>
      <c r="G88" s="45">
        <f t="shared" si="9"/>
        <v>2.625</v>
      </c>
      <c r="H88" s="16">
        <f t="shared" si="7"/>
        <v>21</v>
      </c>
      <c r="I88" s="16">
        <v>1</v>
      </c>
      <c r="J88" s="26"/>
      <c r="K88" s="9">
        <f t="shared" si="5"/>
        <v>0</v>
      </c>
      <c r="L88" s="2">
        <f t="shared" si="6"/>
        <v>0</v>
      </c>
    </row>
    <row r="89" spans="1:12" ht="15.75" thickBot="1">
      <c r="A89" s="17" t="s">
        <v>77</v>
      </c>
      <c r="B89" s="10" t="s">
        <v>75</v>
      </c>
      <c r="C89" s="11">
        <v>8</v>
      </c>
      <c r="D89" s="12">
        <v>3760326670086</v>
      </c>
      <c r="E89" s="9">
        <v>2.7</v>
      </c>
      <c r="F89" s="16">
        <f t="shared" si="8"/>
        <v>21.6</v>
      </c>
      <c r="G89" s="45">
        <f t="shared" si="9"/>
        <v>2.8250000000000002</v>
      </c>
      <c r="H89" s="16">
        <f t="shared" si="7"/>
        <v>22.6</v>
      </c>
      <c r="I89" s="9">
        <v>1</v>
      </c>
      <c r="J89" s="27"/>
      <c r="K89" s="9">
        <f t="shared" si="5"/>
        <v>0</v>
      </c>
      <c r="L89" s="2">
        <f t="shared" si="6"/>
        <v>0</v>
      </c>
    </row>
    <row r="90" spans="1:12" ht="17.25" thickBot="1">
      <c r="J90" s="28">
        <f>SUM(J16:J89)</f>
        <v>0</v>
      </c>
      <c r="K90" s="29">
        <f>SUM(K16:K89)</f>
        <v>0</v>
      </c>
      <c r="L90" s="44">
        <f>SUM(L16:L89)</f>
        <v>0</v>
      </c>
    </row>
  </sheetData>
  <mergeCells count="3">
    <mergeCell ref="F1:I2"/>
    <mergeCell ref="F3:I3"/>
    <mergeCell ref="A5:J6"/>
  </mergeCells>
  <pageMargins left="0.7" right="0.7" top="0.75" bottom="0.75" header="0.3" footer="0.3"/>
  <pageSetup paperSize="9" scale="54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BD5359603944282587D710EF62036" ma:contentTypeVersion="10" ma:contentTypeDescription="Crée un document." ma:contentTypeScope="" ma:versionID="2c1704b18aeb07dd839ec5c311d4bd31">
  <xsd:schema xmlns:xsd="http://www.w3.org/2001/XMLSchema" xmlns:xs="http://www.w3.org/2001/XMLSchema" xmlns:p="http://schemas.microsoft.com/office/2006/metadata/properties" xmlns:ns2="9432ce57-5a17-4c0f-817b-1b2db962afeb" xmlns:ns3="56b1f19a-af8a-4cde-8b65-0aebb5fa1020" targetNamespace="http://schemas.microsoft.com/office/2006/metadata/properties" ma:root="true" ma:fieldsID="a28d7bcc49a7b5d123a9dfbe72a79404" ns2:_="" ns3:_="">
    <xsd:import namespace="9432ce57-5a17-4c0f-817b-1b2db962afeb"/>
    <xsd:import namespace="56b1f19a-af8a-4cde-8b65-0aebb5fa10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32ce57-5a17-4c0f-817b-1b2db962af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e11ce1e-44d0-4ae7-a361-3d958c0005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1f19a-af8a-4cde-8b65-0aebb5fa10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ed95ad-451c-4775-82b5-a0d6af8e576b}" ma:internalName="TaxCatchAll" ma:showField="CatchAllData" ma:web="56b1f19a-af8a-4cde-8b65-0aebb5fa10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b1f19a-af8a-4cde-8b65-0aebb5fa1020" xsi:nil="true"/>
    <lcf76f155ced4ddcb4097134ff3c332f xmlns="9432ce57-5a17-4c0f-817b-1b2db962afe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08DC57-1509-4A78-B5E6-34CB920F18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3BD0D4-CE8C-415D-8EDD-29DDF310EA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32ce57-5a17-4c0f-817b-1b2db962afeb"/>
    <ds:schemaRef ds:uri="56b1f19a-af8a-4cde-8b65-0aebb5fa10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CB46A5-11DD-44B9-B9C2-1736B513FE09}">
  <ds:schemaRefs>
    <ds:schemaRef ds:uri="http://schemas.microsoft.com/office/2006/metadata/properties"/>
    <ds:schemaRef ds:uri="http://schemas.microsoft.com/office/infopath/2007/PartnerControls"/>
    <ds:schemaRef ds:uri="56b1f19a-af8a-4cde-8b65-0aebb5fa1020"/>
    <ds:schemaRef ds:uri="9432ce57-5a17-4c0f-817b-1b2db962af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Berthon [KARL ET LEON]</dc:creator>
  <cp:lastModifiedBy>Raphael Berthon [KARL ET LEON]</cp:lastModifiedBy>
  <cp:lastPrinted>2026-03-05T07:44:12Z</cp:lastPrinted>
  <dcterms:created xsi:type="dcterms:W3CDTF">2026-03-04T17:01:12Z</dcterms:created>
  <dcterms:modified xsi:type="dcterms:W3CDTF">2026-03-05T07:54:49Z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0x010100FCBBD5359603944282587D710EF62036</vt:lpwstr>
  </property>
</Properties>
</file>